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xl/tables/table10.xml" ContentType="application/vnd.openxmlformats-officedocument.spreadsheetml.table+xml"/>
  <Override PartName="/xl/queryTables/queryTable10.xml" ContentType="application/vnd.openxmlformats-officedocument.spreadsheetml.queryTable+xml"/>
  <Override PartName="/xl/tables/table11.xml" ContentType="application/vnd.openxmlformats-officedocument.spreadsheetml.table+xml"/>
  <Override PartName="/xl/queryTables/queryTable11.xml" ContentType="application/vnd.openxmlformats-officedocument.spreadsheetml.queryTable+xml"/>
  <Override PartName="/xl/tables/table12.xml" ContentType="application/vnd.openxmlformats-officedocument.spreadsheetml.table+xml"/>
  <Override PartName="/xl/queryTables/queryTable12.xml" ContentType="application/vnd.openxmlformats-officedocument.spreadsheetml.queryTable+xml"/>
  <Override PartName="/xl/drawings/drawing3.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C:\VS Code Folders\hospital-quality-analysis\excel\"/>
    </mc:Choice>
  </mc:AlternateContent>
  <xr:revisionPtr revIDLastSave="0" documentId="13_ncr:1_{3F42B9E2-E466-4D69-AD25-88D671259C01}" xr6:coauthVersionLast="47" xr6:coauthVersionMax="47" xr10:uidLastSave="{00000000-0000-0000-0000-000000000000}"/>
  <bookViews>
    <workbookView xWindow="-108" yWindow="-108" windowWidth="30936" windowHeight="16776" tabRatio="1000" xr2:uid="{7F346136-E67D-48A9-B4FC-14511A2B5A8A}"/>
  </bookViews>
  <sheets>
    <sheet name="Excel Report" sheetId="14" r:id="rId1"/>
    <sheet name="Pivot Analysis" sheetId="15" r:id="rId2"/>
    <sheet name="State Summary" sheetId="2" r:id="rId3"/>
    <sheet name="State Rating Rankings" sheetId="4" r:id="rId4"/>
    <sheet name="State Quality Domains" sheetId="5" r:id="rId5"/>
    <sheet name="Ownership Summary" sheetId="3" r:id="rId6"/>
    <sheet name="Ownership Rating Rankings" sheetId="6" r:id="rId7"/>
    <sheet name="Ownership Quality Domains" sheetId="7" r:id="rId8"/>
    <sheet name="Hospital Type Summary" sheetId="8" r:id="rId9"/>
    <sheet name="Hospital Type Rating Rankings" sheetId="9" r:id="rId10"/>
    <sheet name="Hospital Type Quality Domains" sheetId="10" r:id="rId11"/>
    <sheet name="Quality Domain Summary" sheetId="11" r:id="rId12"/>
    <sheet name="Quality Domain Missingness" sheetId="12" r:id="rId13"/>
    <sheet name="Quality Domain Below Average" sheetId="13" r:id="rId14"/>
    <sheet name="Chart Sources" sheetId="1" r:id="rId15"/>
  </sheets>
  <definedNames>
    <definedName name="ExternalData_1" localSheetId="10" hidden="1">'Hospital Type Quality Domains'!$A$1:$H$22</definedName>
    <definedName name="ExternalData_1" localSheetId="9" hidden="1">'Hospital Type Rating Rankings'!$A$1:$G$3</definedName>
    <definedName name="ExternalData_1" localSheetId="8" hidden="1">'Hospital Type Summary'!$A$1:$H$4</definedName>
    <definedName name="ExternalData_1" localSheetId="7" hidden="1">'Ownership Quality Domains'!$A$1:$H$71</definedName>
    <definedName name="ExternalData_1" localSheetId="6" hidden="1">'Ownership Rating Rankings'!$A$1:$G$11</definedName>
    <definedName name="ExternalData_1" localSheetId="5" hidden="1">'Ownership Summary'!$A$1:$H$11</definedName>
    <definedName name="ExternalData_1" localSheetId="13" hidden="1">'Quality Domain Below Average'!$A$1:$D$8</definedName>
    <definedName name="ExternalData_1" localSheetId="12" hidden="1">'Quality Domain Missingness'!$A$1:$D$8</definedName>
    <definedName name="ExternalData_1" localSheetId="11" hidden="1">'Quality Domain Summary'!$A$1:$C$29</definedName>
    <definedName name="ExternalData_1" localSheetId="4" hidden="1">'State Quality Domains'!$A$1:$H$393</definedName>
    <definedName name="ExternalData_1" localSheetId="3" hidden="1">'State Rating Rankings'!$A$1:$G$54</definedName>
    <definedName name="ExternalData_1" localSheetId="2" hidden="1">'State Summary'!$A$1:$H$57</definedName>
    <definedName name="Slicer_quality_domain">#N/A</definedName>
  </definedNames>
  <calcPr calcId="191029"/>
  <pivotCaches>
    <pivotCache cacheId="5" r:id="rId16"/>
    <pivotCache cacheId="10" r:id="rId17"/>
  </pivotCaches>
  <extLs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7" i="15" l="1"/>
  <c r="D8" i="15"/>
  <c r="D9" i="15"/>
  <c r="D10" i="15"/>
  <c r="D11" i="15"/>
  <c r="D12" i="15"/>
  <c r="D13" i="15"/>
  <c r="D14" i="15"/>
  <c r="D15" i="15"/>
  <c r="D16" i="15"/>
  <c r="D17" i="15"/>
  <c r="D18" i="15"/>
  <c r="D19" i="15"/>
  <c r="D20" i="15"/>
  <c r="D6" i="1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9E81F45-D776-421F-8AAE-986760F246AB}" keepAlive="1" name="Query - hospital_type_quality_domain_summary" description="Connection to the 'hospital_type_quality_domain_summary' query in the workbook." type="5" refreshedVersion="8" background="1" saveData="1">
    <dbPr connection="Provider=Microsoft.Mashup.OleDb.1;Data Source=$Workbook$;Location=hospital_type_quality_domain_summary;Extended Properties=&quot;&quot;" command="SELECT * FROM [hospital_type_quality_domain_summary]"/>
  </connection>
  <connection id="2" xr16:uid="{8715C5A5-BA5A-46C6-B26B-5D49C2418EB8}" keepAlive="1" name="Query - hospital_type_rating_rankings" description="Connection to the 'hospital_type_rating_rankings' query in the workbook." type="5" refreshedVersion="8" background="1" saveData="1">
    <dbPr connection="Provider=Microsoft.Mashup.OleDb.1;Data Source=$Workbook$;Location=hospital_type_rating_rankings;Extended Properties=&quot;&quot;" command="SELECT * FROM [hospital_type_rating_rankings]"/>
  </connection>
  <connection id="3" xr16:uid="{27DE53D8-3D24-44DB-BE3B-23081FFE6758}" keepAlive="1" name="Query - hospital_type_summary" description="Connection to the 'hospital_type_summary' query in the workbook." type="5" refreshedVersion="8" background="1" saveData="1">
    <dbPr connection="Provider=Microsoft.Mashup.OleDb.1;Data Source=$Workbook$;Location=hospital_type_summary;Extended Properties=&quot;&quot;" command="SELECT * FROM [hospital_type_summary]"/>
  </connection>
  <connection id="4" xr16:uid="{35B58AA6-6607-4739-A563-2A998C0C2BD7}" keepAlive="1" name="Query - ownership_quality_domain_summary" description="Connection to the 'ownership_quality_domain_summary' query in the workbook." type="5" refreshedVersion="8" background="1" saveData="1">
    <dbPr connection="Provider=Microsoft.Mashup.OleDb.1;Data Source=$Workbook$;Location=ownership_quality_domain_summary;Extended Properties=&quot;&quot;" command="SELECT * FROM [ownership_quality_domain_summary]"/>
  </connection>
  <connection id="5" xr16:uid="{E9D233D7-B155-4CD6-A4D8-7FAEB9EEE6A6}" keepAlive="1" name="Query - ownership_rating_rankings" description="Connection to the 'ownership_rating_rankings' query in the workbook." type="5" refreshedVersion="8" background="1" saveData="1">
    <dbPr connection="Provider=Microsoft.Mashup.OleDb.1;Data Source=$Workbook$;Location=ownership_rating_rankings;Extended Properties=&quot;&quot;" command="SELECT * FROM [ownership_rating_rankings]"/>
  </connection>
  <connection id="6" xr16:uid="{36622606-0868-4B26-90BF-D473589AEC1B}" keepAlive="1" name="Query - ownership_summary" description="Connection to the 'ownership_summary' query in the workbook." type="5" refreshedVersion="8" background="1" saveData="1">
    <dbPr connection="Provider=Microsoft.Mashup.OleDb.1;Data Source=$Workbook$;Location=ownership_summary;Extended Properties=&quot;&quot;" command="SELECT * FROM [ownership_summary]"/>
  </connection>
  <connection id="7" xr16:uid="{7115FFBE-1A9F-415E-ADD0-975710F9100A}" keepAlive="1" name="Query - quality_domain_below_average" description="Connection to the 'quality_domain_below_average' query in the workbook." type="5" refreshedVersion="8" background="1" saveData="1">
    <dbPr connection="Provider=Microsoft.Mashup.OleDb.1;Data Source=$Workbook$;Location=quality_domain_below_average;Extended Properties=&quot;&quot;" command="SELECT * FROM [quality_domain_below_average]"/>
  </connection>
  <connection id="8" xr16:uid="{27A38F74-7AF6-4521-834B-D759B69854EB}" keepAlive="1" name="Query - quality_domain_missingness" description="Connection to the 'quality_domain_missingness' query in the workbook." type="5" refreshedVersion="8" background="1" saveData="1">
    <dbPr connection="Provider=Microsoft.Mashup.OleDb.1;Data Source=$Workbook$;Location=quality_domain_missingness;Extended Properties=&quot;&quot;" command="SELECT * FROM [quality_domain_missingness]"/>
  </connection>
  <connection id="9" xr16:uid="{65F4B72B-1B65-42F1-A6DB-212FC9D0DECC}" keepAlive="1" name="Query - quality_domain_summary" description="Connection to the 'quality_domain_summary' query in the workbook." type="5" refreshedVersion="8" background="1" saveData="1">
    <dbPr connection="Provider=Microsoft.Mashup.OleDb.1;Data Source=$Workbook$;Location=quality_domain_summary;Extended Properties=&quot;&quot;" command="SELECT * FROM [quality_domain_summary]"/>
  </connection>
  <connection id="10" xr16:uid="{C61CFA12-6001-4BBD-B96E-822427C5A562}" keepAlive="1" name="Query - state_quality_domain_summary" description="Connection to the 'state_quality_domain_summary' query in the workbook." type="5" refreshedVersion="8" background="1" saveData="1">
    <dbPr connection="Provider=Microsoft.Mashup.OleDb.1;Data Source=$Workbook$;Location=state_quality_domain_summary;Extended Properties=&quot;&quot;" command="SELECT * FROM [state_quality_domain_summary]"/>
  </connection>
  <connection id="11" xr16:uid="{EA220FCC-C90B-45EF-BC66-4EDF2EFD7CBB}" keepAlive="1" name="Query - state_rating_rankings" description="Connection to the 'state_rating_rankings' query in the workbook." type="5" refreshedVersion="8" background="1" saveData="1">
    <dbPr connection="Provider=Microsoft.Mashup.OleDb.1;Data Source=$Workbook$;Location=state_rating_rankings;Extended Properties=&quot;&quot;" command="SELECT * FROM [state_rating_rankings]"/>
  </connection>
  <connection id="12" xr16:uid="{0847564A-5E05-4F0E-B72C-293AF60604F6}" keepAlive="1" name="Query - state_summary" description="Connection to the 'state_summary' query in the workbook." type="5" refreshedVersion="8" background="1" saveData="1">
    <dbPr connection="Provider=Microsoft.Mashup.OleDb.1;Data Source=$Workbook$;Location=state_summary;Extended Properties=&quot;&quot;" command="SELECT * FROM [state_summary]"/>
  </connection>
</connections>
</file>

<file path=xl/sharedStrings.xml><?xml version="1.0" encoding="utf-8"?>
<sst xmlns="http://schemas.openxmlformats.org/spreadsheetml/2006/main" count="1405" uniqueCount="121">
  <si>
    <t>state</t>
  </si>
  <si>
    <t>total_hospitals</t>
  </si>
  <si>
    <t>rated_hospitals</t>
  </si>
  <si>
    <t>emergency_hospitals</t>
  </si>
  <si>
    <t>emergency_service_pct</t>
  </si>
  <si>
    <t>missing_ratings</t>
  </si>
  <si>
    <t>missing_rating_pct</t>
  </si>
  <si>
    <t>avg_rating</t>
  </si>
  <si>
    <t>AK</t>
  </si>
  <si>
    <t>AL</t>
  </si>
  <si>
    <t>AR</t>
  </si>
  <si>
    <t>AS</t>
  </si>
  <si>
    <t>AZ</t>
  </si>
  <si>
    <t>CA</t>
  </si>
  <si>
    <t>CO</t>
  </si>
  <si>
    <t>CT</t>
  </si>
  <si>
    <t>DC</t>
  </si>
  <si>
    <t>DE</t>
  </si>
  <si>
    <t>FL</t>
  </si>
  <si>
    <t>GA</t>
  </si>
  <si>
    <t>GU</t>
  </si>
  <si>
    <t>HI</t>
  </si>
  <si>
    <t>IA</t>
  </si>
  <si>
    <t>ID</t>
  </si>
  <si>
    <t>IL</t>
  </si>
  <si>
    <t>IN</t>
  </si>
  <si>
    <t>KS</t>
  </si>
  <si>
    <t>KY</t>
  </si>
  <si>
    <t>LA</t>
  </si>
  <si>
    <t>MA</t>
  </si>
  <si>
    <t>MD</t>
  </si>
  <si>
    <t>ME</t>
  </si>
  <si>
    <t>MI</t>
  </si>
  <si>
    <t>MN</t>
  </si>
  <si>
    <t>MO</t>
  </si>
  <si>
    <t>MP</t>
  </si>
  <si>
    <t>MS</t>
  </si>
  <si>
    <t>MT</t>
  </si>
  <si>
    <t>NC</t>
  </si>
  <si>
    <t>ND</t>
  </si>
  <si>
    <t>NE</t>
  </si>
  <si>
    <t>NH</t>
  </si>
  <si>
    <t>NJ</t>
  </si>
  <si>
    <t>NM</t>
  </si>
  <si>
    <t>NV</t>
  </si>
  <si>
    <t>NY</t>
  </si>
  <si>
    <t>OH</t>
  </si>
  <si>
    <t>OK</t>
  </si>
  <si>
    <t>OR</t>
  </si>
  <si>
    <t>PA</t>
  </si>
  <si>
    <t>PR</t>
  </si>
  <si>
    <t>RI</t>
  </si>
  <si>
    <t>SC</t>
  </si>
  <si>
    <t>SD</t>
  </si>
  <si>
    <t>TN</t>
  </si>
  <si>
    <t>TX</t>
  </si>
  <si>
    <t>UT</t>
  </si>
  <si>
    <t>VA</t>
  </si>
  <si>
    <t>VI</t>
  </si>
  <si>
    <t>VT</t>
  </si>
  <si>
    <t>WA</t>
  </si>
  <si>
    <t>WI</t>
  </si>
  <si>
    <t>WV</t>
  </si>
  <si>
    <t>WY</t>
  </si>
  <si>
    <t>hospital_ownership</t>
  </si>
  <si>
    <t>Government - Federal</t>
  </si>
  <si>
    <t>Government - Hospital District or Authority</t>
  </si>
  <si>
    <t>Government - Local</t>
  </si>
  <si>
    <t>Government - State</t>
  </si>
  <si>
    <t>Physician</t>
  </si>
  <si>
    <t>Proprietary</t>
  </si>
  <si>
    <t>Tribal</t>
  </si>
  <si>
    <t>Voluntary non-profit - Church</t>
  </si>
  <si>
    <t>Voluntary non-profit - Other</t>
  </si>
  <si>
    <t>Voluntary non-profit - Private</t>
  </si>
  <si>
    <t>rating_coverage_pct</t>
  </si>
  <si>
    <t>sample_weight</t>
  </si>
  <si>
    <t>sample_adjusted_rating_score</t>
  </si>
  <si>
    <t>quality_domain</t>
  </si>
  <si>
    <t>total_quality_domain_records</t>
  </si>
  <si>
    <t>compared_records</t>
  </si>
  <si>
    <t>missing_records</t>
  </si>
  <si>
    <t>missing_pct</t>
  </si>
  <si>
    <t>below_average_records</t>
  </si>
  <si>
    <t>below_average_pct</t>
  </si>
  <si>
    <t>Effectiveness of Care</t>
  </si>
  <si>
    <t>Efficient Use of Medical Imaging</t>
  </si>
  <si>
    <t>Mortality</t>
  </si>
  <si>
    <t>Patient Experience</t>
  </si>
  <si>
    <t>Readmission</t>
  </si>
  <si>
    <t>Safety of Care</t>
  </si>
  <si>
    <t>Timeliness of Care</t>
  </si>
  <si>
    <t>hospital_type</t>
  </si>
  <si>
    <t>Acute Care Hospitals</t>
  </si>
  <si>
    <t>Childrens</t>
  </si>
  <si>
    <t>Critical Access Hospitals</t>
  </si>
  <si>
    <t>national_comparison</t>
  </si>
  <si>
    <t>hospital_count</t>
  </si>
  <si>
    <t>Above the national average</t>
  </si>
  <si>
    <t>Below the national average</t>
  </si>
  <si>
    <t>Missing</t>
  </si>
  <si>
    <t>Same as the national average</t>
  </si>
  <si>
    <t>total_records</t>
  </si>
  <si>
    <t>total_compared_records</t>
  </si>
  <si>
    <t>Hospital Quality Analysis Report</t>
  </si>
  <si>
    <t>Dataset Overview</t>
  </si>
  <si>
    <t>Rating Coverage</t>
  </si>
  <si>
    <t>Rating Rankings</t>
  </si>
  <si>
    <t>Quality Domain Overview</t>
  </si>
  <si>
    <t>Row Labels</t>
  </si>
  <si>
    <t>Below-average %</t>
  </si>
  <si>
    <t>Sample-adjusted rating score</t>
  </si>
  <si>
    <t>Sum of compared records</t>
  </si>
  <si>
    <t>Top 15 States' Below-Average Rate and Rating by Quality Domain</t>
  </si>
  <si>
    <t>Below-Average Rate by Ownership Type and Quality Domain</t>
  </si>
  <si>
    <t/>
  </si>
  <si>
    <t>Hotter cells indicate ownership-domain combinations with higher below-national-average rates.</t>
  </si>
  <si>
    <t>Acute Care Hospitals make up most of the dataset. Voluntary non-profit private hospitals are the most common ownership type. Texas and California have the highest hospital counts among states.</t>
  </si>
  <si>
    <t>Rating availability varies by group. Children’s hospitals have no overall ratings in this dataset, while some ownership types and states have higher missing rating percentages than others.</t>
  </si>
  <si>
    <t>These rankings use a sample-adjusted rating score rather than raw average rating. The adjustment reduces the influence of groups with very small rated samples. Children’s hospitals are excluded from hospital type rankings because they have no overall ratings in this dataset.</t>
  </si>
  <si>
    <t>Patient Experience has the highest below-national-average rate among available comparison records. Safety of Care and Efficient Use of Medical Imaging have the highest missing comparison percentages, so those domains should be interpreted with more caution.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</si>
</sst>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20"/>
      <color theme="1"/>
      <name val="Aptos Narrow"/>
      <family val="2"/>
      <scheme val="minor"/>
    </font>
    <font>
      <b/>
      <sz val="11"/>
      <color theme="0"/>
      <name val="Aptos Narrow"/>
      <family val="2"/>
      <scheme val="minor"/>
    </font>
    <font>
      <b/>
      <sz val="14"/>
      <color theme="1"/>
      <name val="Aptos Narrow"/>
      <family val="2"/>
      <scheme val="minor"/>
    </font>
    <font>
      <b/>
      <sz val="11"/>
      <color theme="1"/>
      <name val="Aptos Narrow"/>
      <family val="2"/>
      <scheme val="minor"/>
    </font>
    <font>
      <sz val="9"/>
      <color theme="1"/>
      <name val="Aptos Narrow"/>
      <family val="2"/>
      <scheme val="minor"/>
    </font>
  </fonts>
  <fills count="5">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
      <patternFill patternType="solid">
        <fgColor theme="4" tint="0.79998168889431442"/>
        <bgColor theme="4" tint="0.79998168889431442"/>
      </patternFill>
    </fill>
  </fills>
  <borders count="5">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right/>
      <top/>
      <bottom style="thin">
        <color theme="4" tint="0.39997558519241921"/>
      </bottom>
      <diagonal/>
    </border>
  </borders>
  <cellStyleXfs count="1">
    <xf numFmtId="0" fontId="0" fillId="0" borderId="0"/>
  </cellStyleXfs>
  <cellXfs count="19">
    <xf numFmtId="0" fontId="0" fillId="0" borderId="0" xfId="0"/>
    <xf numFmtId="0" fontId="1" fillId="0" borderId="0" xfId="0" applyFont="1"/>
    <xf numFmtId="0" fontId="2" fillId="2" borderId="1" xfId="0" applyFont="1" applyFill="1" applyBorder="1"/>
    <xf numFmtId="0" fontId="2" fillId="2" borderId="2" xfId="0" applyFont="1" applyFill="1" applyBorder="1"/>
    <xf numFmtId="0" fontId="0" fillId="3" borderId="1" xfId="0" applyFill="1" applyBorder="1"/>
    <xf numFmtId="0" fontId="0" fillId="3" borderId="2" xfId="0" applyFill="1" applyBorder="1"/>
    <xf numFmtId="0" fontId="0" fillId="0" borderId="1" xfId="0" applyBorder="1"/>
    <xf numFmtId="0" fontId="0" fillId="0" borderId="2" xfId="0" applyBorder="1"/>
    <xf numFmtId="0" fontId="3" fillId="0" borderId="0" xfId="0" applyFont="1"/>
    <xf numFmtId="0" fontId="2" fillId="2" borderId="3" xfId="0" applyFont="1" applyFill="1" applyBorder="1"/>
    <xf numFmtId="0" fontId="0" fillId="3" borderId="3" xfId="0" applyFill="1" applyBorder="1"/>
    <xf numFmtId="0" fontId="0" fillId="0" borderId="3" xfId="0" applyBorder="1"/>
    <xf numFmtId="0" fontId="0" fillId="0" borderId="0" xfId="0" applyFont="1" applyAlignment="1">
      <alignment horizontal="center"/>
    </xf>
    <xf numFmtId="0" fontId="0" fillId="0" borderId="0" xfId="0" pivotButton="1"/>
    <xf numFmtId="0" fontId="0" fillId="0" borderId="0" xfId="0" applyAlignment="1">
      <alignment horizontal="left"/>
    </xf>
    <xf numFmtId="0" fontId="0" fillId="0" borderId="0" xfId="0" applyNumberFormat="1"/>
    <xf numFmtId="0" fontId="4" fillId="4" borderId="4" xfId="0" applyFont="1" applyFill="1" applyBorder="1"/>
    <xf numFmtId="2" fontId="0" fillId="0" borderId="0" xfId="0" applyNumberFormat="1"/>
    <xf numFmtId="0" fontId="5" fillId="0" borderId="0" xfId="0" applyFont="1"/>
  </cellXfs>
  <cellStyles count="1">
    <cellStyle name="Normal" xfId="0" builtinId="0"/>
  </cellStyles>
  <dxfs count="1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Missing</a:t>
            </a:r>
            <a:r>
              <a:rPr lang="en-US" baseline="0"/>
              <a:t> Rating Percentage by Hospital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8949999999999998"/>
          <c:y val="0.17171296296296296"/>
          <c:w val="0.67483333333333329"/>
          <c:h val="0.62308654126567509"/>
        </c:manualLayout>
      </c:layout>
      <c:barChart>
        <c:barDir val="bar"/>
        <c:grouping val="clustered"/>
        <c:varyColors val="0"/>
        <c:ser>
          <c:idx val="0"/>
          <c:order val="0"/>
          <c:tx>
            <c:strRef>
              <c:f>'Chart Sources'!$B$35</c:f>
              <c:strCache>
                <c:ptCount val="1"/>
                <c:pt idx="0">
                  <c:v>missing_rating_pct</c:v>
                </c:pt>
              </c:strCache>
            </c:strRef>
          </c:tx>
          <c:spPr>
            <a:solidFill>
              <a:schemeClr val="accent1"/>
            </a:solidFill>
            <a:ln>
              <a:noFill/>
            </a:ln>
            <a:effectLst/>
          </c:spPr>
          <c:invertIfNegative val="0"/>
          <c:cat>
            <c:strRef>
              <c:f>'Chart Sources'!$A$36:$A$38</c:f>
              <c:strCache>
                <c:ptCount val="3"/>
                <c:pt idx="0">
                  <c:v>Childrens</c:v>
                </c:pt>
                <c:pt idx="1">
                  <c:v>Critical Access Hospitals</c:v>
                </c:pt>
                <c:pt idx="2">
                  <c:v>Acute Care Hospitals</c:v>
                </c:pt>
              </c:strCache>
            </c:strRef>
          </c:cat>
          <c:val>
            <c:numRef>
              <c:f>'Chart Sources'!$B$36:$B$38</c:f>
              <c:numCache>
                <c:formatCode>General</c:formatCode>
                <c:ptCount val="3"/>
                <c:pt idx="0">
                  <c:v>100</c:v>
                </c:pt>
                <c:pt idx="1">
                  <c:v>55.65</c:v>
                </c:pt>
                <c:pt idx="2">
                  <c:v>11.81</c:v>
                </c:pt>
              </c:numCache>
            </c:numRef>
          </c:val>
          <c:extLst>
            <c:ext xmlns:c16="http://schemas.microsoft.com/office/drawing/2014/chart" uri="{C3380CC4-5D6E-409C-BE32-E72D297353CC}">
              <c16:uniqueId val="{00000000-BCA5-4142-8D6D-DB932038F69D}"/>
            </c:ext>
          </c:extLst>
        </c:ser>
        <c:dLbls>
          <c:showLegendKey val="0"/>
          <c:showVal val="0"/>
          <c:showCatName val="0"/>
          <c:showSerName val="0"/>
          <c:showPercent val="0"/>
          <c:showBubbleSize val="0"/>
        </c:dLbls>
        <c:gapWidth val="182"/>
        <c:axId val="721398976"/>
        <c:axId val="721398496"/>
      </c:barChart>
      <c:catAx>
        <c:axId val="721398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1398496"/>
        <c:crosses val="autoZero"/>
        <c:auto val="1"/>
        <c:lblAlgn val="ctr"/>
        <c:lblOffset val="100"/>
        <c:noMultiLvlLbl val="0"/>
      </c:catAx>
      <c:valAx>
        <c:axId val="721398496"/>
        <c:scaling>
          <c:orientation val="minMax"/>
          <c:max val="1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Missing Rating</a:t>
                </a:r>
                <a:r>
                  <a:rPr lang="en-US" baseline="0"/>
                  <a:t> %</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1398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Missing</a:t>
            </a:r>
            <a:r>
              <a:rPr lang="en-US" baseline="0"/>
              <a:t> Rating Percentage by Ownership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'Chart Sources'!$B$43</c:f>
              <c:strCache>
                <c:ptCount val="1"/>
                <c:pt idx="0">
                  <c:v>missing_rating_pct</c:v>
                </c:pt>
              </c:strCache>
            </c:strRef>
          </c:tx>
          <c:spPr>
            <a:solidFill>
              <a:schemeClr val="accent1"/>
            </a:solidFill>
            <a:ln>
              <a:noFill/>
            </a:ln>
            <a:effectLst/>
          </c:spPr>
          <c:invertIfNegative val="0"/>
          <c:cat>
            <c:strRef>
              <c:f>'Chart Sources'!$A$44:$A$53</c:f>
              <c:strCache>
                <c:ptCount val="10"/>
                <c:pt idx="0">
                  <c:v>Tribal</c:v>
                </c:pt>
                <c:pt idx="1">
                  <c:v>Physician</c:v>
                </c:pt>
                <c:pt idx="2">
                  <c:v>Government - Federal</c:v>
                </c:pt>
                <c:pt idx="3">
                  <c:v>Government - Local</c:v>
                </c:pt>
                <c:pt idx="4">
                  <c:v>Government - Hospital District or Authority</c:v>
                </c:pt>
                <c:pt idx="5">
                  <c:v>Government - State</c:v>
                </c:pt>
                <c:pt idx="6">
                  <c:v>Proprietary</c:v>
                </c:pt>
                <c:pt idx="7">
                  <c:v>Voluntary non-profit - Private</c:v>
                </c:pt>
                <c:pt idx="8">
                  <c:v>Voluntary non-profit - Other</c:v>
                </c:pt>
                <c:pt idx="9">
                  <c:v>Voluntary non-profit - Church</c:v>
                </c:pt>
              </c:strCache>
            </c:strRef>
          </c:cat>
          <c:val>
            <c:numRef>
              <c:f>'Chart Sources'!$B$44:$B$53</c:f>
              <c:numCache>
                <c:formatCode>General</c:formatCode>
                <c:ptCount val="10"/>
                <c:pt idx="0">
                  <c:v>77.78</c:v>
                </c:pt>
                <c:pt idx="1">
                  <c:v>70.59</c:v>
                </c:pt>
                <c:pt idx="2">
                  <c:v>64.44</c:v>
                </c:pt>
                <c:pt idx="3">
                  <c:v>40.29</c:v>
                </c:pt>
                <c:pt idx="4">
                  <c:v>39.93</c:v>
                </c:pt>
                <c:pt idx="5">
                  <c:v>30.77</c:v>
                </c:pt>
                <c:pt idx="6">
                  <c:v>22.88</c:v>
                </c:pt>
                <c:pt idx="7">
                  <c:v>21.78</c:v>
                </c:pt>
                <c:pt idx="8">
                  <c:v>19.260000000000002</c:v>
                </c:pt>
                <c:pt idx="9">
                  <c:v>9.91</c:v>
                </c:pt>
              </c:numCache>
            </c:numRef>
          </c:val>
          <c:extLst>
            <c:ext xmlns:c16="http://schemas.microsoft.com/office/drawing/2014/chart" uri="{C3380CC4-5D6E-409C-BE32-E72D297353CC}">
              <c16:uniqueId val="{00000000-7158-480F-88B2-38944F6AE208}"/>
            </c:ext>
          </c:extLst>
        </c:ser>
        <c:dLbls>
          <c:showLegendKey val="0"/>
          <c:showVal val="0"/>
          <c:showCatName val="0"/>
          <c:showSerName val="0"/>
          <c:showPercent val="0"/>
          <c:showBubbleSize val="0"/>
        </c:dLbls>
        <c:gapWidth val="182"/>
        <c:axId val="209265680"/>
        <c:axId val="209266160"/>
      </c:barChart>
      <c:catAx>
        <c:axId val="209265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266160"/>
        <c:crosses val="autoZero"/>
        <c:auto val="1"/>
        <c:lblAlgn val="ctr"/>
        <c:lblOffset val="100"/>
        <c:noMultiLvlLbl val="0"/>
      </c:catAx>
      <c:valAx>
        <c:axId val="209266160"/>
        <c:scaling>
          <c:orientation val="minMax"/>
          <c:max val="1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Missing Rating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265680"/>
        <c:crosses val="autoZero"/>
        <c:crossBetween val="between"/>
        <c:majorUnit val="2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Hospitals by Hospital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'Chart Sources'!$B$1</c:f>
              <c:strCache>
                <c:ptCount val="1"/>
                <c:pt idx="0">
                  <c:v>total_hospitals</c:v>
                </c:pt>
              </c:strCache>
            </c:strRef>
          </c:tx>
          <c:spPr>
            <a:solidFill>
              <a:schemeClr val="accent1"/>
            </a:solidFill>
            <a:ln>
              <a:noFill/>
            </a:ln>
            <a:effectLst/>
          </c:spPr>
          <c:invertIfNegative val="0"/>
          <c:cat>
            <c:strRef>
              <c:f>'Chart Sources'!$A$2:$A$4</c:f>
              <c:strCache>
                <c:ptCount val="3"/>
                <c:pt idx="0">
                  <c:v>Acute Care Hospitals</c:v>
                </c:pt>
                <c:pt idx="1">
                  <c:v>Critical Access Hospitals</c:v>
                </c:pt>
                <c:pt idx="2">
                  <c:v>Childrens</c:v>
                </c:pt>
              </c:strCache>
            </c:strRef>
          </c:cat>
          <c:val>
            <c:numRef>
              <c:f>'Chart Sources'!$B$2:$B$4</c:f>
              <c:numCache>
                <c:formatCode>General</c:formatCode>
                <c:ptCount val="3"/>
                <c:pt idx="0">
                  <c:v>3369</c:v>
                </c:pt>
                <c:pt idx="1">
                  <c:v>1344</c:v>
                </c:pt>
                <c:pt idx="2">
                  <c:v>99</c:v>
                </c:pt>
              </c:numCache>
            </c:numRef>
          </c:val>
          <c:extLst>
            <c:ext xmlns:c16="http://schemas.microsoft.com/office/drawing/2014/chart" uri="{C3380CC4-5D6E-409C-BE32-E72D297353CC}">
              <c16:uniqueId val="{00000000-076A-4508-945A-3E950C3C7219}"/>
            </c:ext>
          </c:extLst>
        </c:ser>
        <c:dLbls>
          <c:showLegendKey val="0"/>
          <c:showVal val="0"/>
          <c:showCatName val="0"/>
          <c:showSerName val="0"/>
          <c:showPercent val="0"/>
          <c:showBubbleSize val="0"/>
        </c:dLbls>
        <c:gapWidth val="182"/>
        <c:axId val="1608479023"/>
        <c:axId val="1608479503"/>
      </c:barChart>
      <c:catAx>
        <c:axId val="16084790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8479503"/>
        <c:crosses val="autoZero"/>
        <c:auto val="1"/>
        <c:lblAlgn val="ctr"/>
        <c:lblOffset val="100"/>
        <c:noMultiLvlLbl val="0"/>
      </c:catAx>
      <c:valAx>
        <c:axId val="160847950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Hospitals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8479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Hospitals by Ownership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'Chart Sources'!$B$8</c:f>
              <c:strCache>
                <c:ptCount val="1"/>
                <c:pt idx="0">
                  <c:v>total_hospitals</c:v>
                </c:pt>
              </c:strCache>
            </c:strRef>
          </c:tx>
          <c:spPr>
            <a:solidFill>
              <a:schemeClr val="accent1"/>
            </a:solidFill>
            <a:ln>
              <a:noFill/>
            </a:ln>
            <a:effectLst/>
          </c:spPr>
          <c:invertIfNegative val="0"/>
          <c:cat>
            <c:strRef>
              <c:f>'Chart Sources'!$A$9:$A$18</c:f>
              <c:strCache>
                <c:ptCount val="10"/>
                <c:pt idx="0">
                  <c:v>Voluntary non-profit - Private</c:v>
                </c:pt>
                <c:pt idx="1">
                  <c:v>Proprietary</c:v>
                </c:pt>
                <c:pt idx="2">
                  <c:v>Government - Hospital District or Authority</c:v>
                </c:pt>
                <c:pt idx="3">
                  <c:v>Voluntary non-profit - Other</c:v>
                </c:pt>
                <c:pt idx="4">
                  <c:v>Government - Local</c:v>
                </c:pt>
                <c:pt idx="5">
                  <c:v>Voluntary non-profit - Church</c:v>
                </c:pt>
                <c:pt idx="6">
                  <c:v>Physician</c:v>
                </c:pt>
                <c:pt idx="7">
                  <c:v>Government - State</c:v>
                </c:pt>
                <c:pt idx="8">
                  <c:v>Government - Federal</c:v>
                </c:pt>
                <c:pt idx="9">
                  <c:v>Tribal</c:v>
                </c:pt>
              </c:strCache>
            </c:strRef>
          </c:cat>
          <c:val>
            <c:numRef>
              <c:f>'Chart Sources'!$B$9:$B$18</c:f>
              <c:numCache>
                <c:formatCode>General</c:formatCode>
                <c:ptCount val="10"/>
                <c:pt idx="0">
                  <c:v>2052</c:v>
                </c:pt>
                <c:pt idx="1">
                  <c:v>800</c:v>
                </c:pt>
                <c:pt idx="2">
                  <c:v>561</c:v>
                </c:pt>
                <c:pt idx="3">
                  <c:v>462</c:v>
                </c:pt>
                <c:pt idx="4">
                  <c:v>407</c:v>
                </c:pt>
                <c:pt idx="5">
                  <c:v>343</c:v>
                </c:pt>
                <c:pt idx="6">
                  <c:v>68</c:v>
                </c:pt>
                <c:pt idx="7">
                  <c:v>65</c:v>
                </c:pt>
                <c:pt idx="8">
                  <c:v>45</c:v>
                </c:pt>
                <c:pt idx="9">
                  <c:v>9</c:v>
                </c:pt>
              </c:numCache>
            </c:numRef>
          </c:val>
          <c:extLst>
            <c:ext xmlns:c16="http://schemas.microsoft.com/office/drawing/2014/chart" uri="{C3380CC4-5D6E-409C-BE32-E72D297353CC}">
              <c16:uniqueId val="{00000000-C601-4CF4-85C3-51DBC633C082}"/>
            </c:ext>
          </c:extLst>
        </c:ser>
        <c:dLbls>
          <c:showLegendKey val="0"/>
          <c:showVal val="0"/>
          <c:showCatName val="0"/>
          <c:showSerName val="0"/>
          <c:showPercent val="0"/>
          <c:showBubbleSize val="0"/>
        </c:dLbls>
        <c:gapWidth val="182"/>
        <c:axId val="1667948735"/>
        <c:axId val="1667950655"/>
      </c:barChart>
      <c:catAx>
        <c:axId val="1667948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7950655"/>
        <c:crosses val="autoZero"/>
        <c:auto val="1"/>
        <c:lblAlgn val="ctr"/>
        <c:lblOffset val="100"/>
        <c:noMultiLvlLbl val="0"/>
      </c:catAx>
      <c:valAx>
        <c:axId val="166795065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Hospitals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7948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Hospitals by Top 10 States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'Chart Sources'!$B$20</c:f>
              <c:strCache>
                <c:ptCount val="1"/>
                <c:pt idx="0">
                  <c:v>total_hospitals</c:v>
                </c:pt>
              </c:strCache>
            </c:strRef>
          </c:tx>
          <c:spPr>
            <a:solidFill>
              <a:schemeClr val="accent1"/>
            </a:solidFill>
            <a:ln>
              <a:noFill/>
            </a:ln>
            <a:effectLst/>
          </c:spPr>
          <c:invertIfNegative val="0"/>
          <c:cat>
            <c:strRef>
              <c:f>'Chart Sources'!$A$21:$A$30</c:f>
              <c:strCache>
                <c:ptCount val="10"/>
                <c:pt idx="0">
                  <c:v>TX</c:v>
                </c:pt>
                <c:pt idx="1">
                  <c:v>CA</c:v>
                </c:pt>
                <c:pt idx="2">
                  <c:v>FL</c:v>
                </c:pt>
                <c:pt idx="3">
                  <c:v>IL</c:v>
                </c:pt>
                <c:pt idx="4">
                  <c:v>NY</c:v>
                </c:pt>
                <c:pt idx="5">
                  <c:v>PA</c:v>
                </c:pt>
                <c:pt idx="6">
                  <c:v>OH</c:v>
                </c:pt>
                <c:pt idx="7">
                  <c:v>KS</c:v>
                </c:pt>
                <c:pt idx="8">
                  <c:v>GA</c:v>
                </c:pt>
                <c:pt idx="9">
                  <c:v>MI</c:v>
                </c:pt>
              </c:strCache>
            </c:strRef>
          </c:cat>
          <c:val>
            <c:numRef>
              <c:f>'Chart Sources'!$B$21:$B$30</c:f>
              <c:numCache>
                <c:formatCode>General</c:formatCode>
                <c:ptCount val="10"/>
                <c:pt idx="0">
                  <c:v>411</c:v>
                </c:pt>
                <c:pt idx="1">
                  <c:v>343</c:v>
                </c:pt>
                <c:pt idx="2">
                  <c:v>187</c:v>
                </c:pt>
                <c:pt idx="3">
                  <c:v>180</c:v>
                </c:pt>
                <c:pt idx="4">
                  <c:v>171</c:v>
                </c:pt>
                <c:pt idx="5">
                  <c:v>171</c:v>
                </c:pt>
                <c:pt idx="6">
                  <c:v>168</c:v>
                </c:pt>
                <c:pt idx="7">
                  <c:v>137</c:v>
                </c:pt>
                <c:pt idx="8">
                  <c:v>133</c:v>
                </c:pt>
                <c:pt idx="9">
                  <c:v>131</c:v>
                </c:pt>
              </c:numCache>
            </c:numRef>
          </c:val>
          <c:extLst>
            <c:ext xmlns:c16="http://schemas.microsoft.com/office/drawing/2014/chart" uri="{C3380CC4-5D6E-409C-BE32-E72D297353CC}">
              <c16:uniqueId val="{00000000-B4D4-415F-9891-C7DF2C7081F7}"/>
            </c:ext>
          </c:extLst>
        </c:ser>
        <c:dLbls>
          <c:showLegendKey val="0"/>
          <c:showVal val="0"/>
          <c:showCatName val="0"/>
          <c:showSerName val="0"/>
          <c:showPercent val="0"/>
          <c:showBubbleSize val="0"/>
        </c:dLbls>
        <c:gapWidth val="182"/>
        <c:axId val="254355279"/>
        <c:axId val="254352879"/>
      </c:barChart>
      <c:catAx>
        <c:axId val="2543552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352879"/>
        <c:crosses val="autoZero"/>
        <c:auto val="1"/>
        <c:lblAlgn val="ctr"/>
        <c:lblOffset val="100"/>
        <c:noMultiLvlLbl val="0"/>
      </c:catAx>
      <c:valAx>
        <c:axId val="25435287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Hospitals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355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Missing Rating Percentage</a:t>
            </a:r>
            <a:r>
              <a:rPr lang="en-US" baseline="0"/>
              <a:t> by Top 10 States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'Chart Sources'!$B$55</c:f>
              <c:strCache>
                <c:ptCount val="1"/>
                <c:pt idx="0">
                  <c:v>missing_rating_pct</c:v>
                </c:pt>
              </c:strCache>
            </c:strRef>
          </c:tx>
          <c:spPr>
            <a:solidFill>
              <a:schemeClr val="accent1"/>
            </a:solidFill>
            <a:ln>
              <a:noFill/>
            </a:ln>
            <a:effectLst/>
          </c:spPr>
          <c:invertIfNegative val="0"/>
          <c:cat>
            <c:strRef>
              <c:f>'Chart Sources'!$A$56:$A$65</c:f>
              <c:strCache>
                <c:ptCount val="10"/>
                <c:pt idx="0">
                  <c:v>KS</c:v>
                </c:pt>
                <c:pt idx="1">
                  <c:v>TX</c:v>
                </c:pt>
                <c:pt idx="2">
                  <c:v>GA</c:v>
                </c:pt>
                <c:pt idx="3">
                  <c:v>OH</c:v>
                </c:pt>
                <c:pt idx="4">
                  <c:v>CA</c:v>
                </c:pt>
                <c:pt idx="5">
                  <c:v>PA</c:v>
                </c:pt>
                <c:pt idx="6">
                  <c:v>MI</c:v>
                </c:pt>
                <c:pt idx="7">
                  <c:v>IL</c:v>
                </c:pt>
                <c:pt idx="8">
                  <c:v>NY</c:v>
                </c:pt>
                <c:pt idx="9">
                  <c:v>FL</c:v>
                </c:pt>
              </c:strCache>
            </c:strRef>
          </c:cat>
          <c:val>
            <c:numRef>
              <c:f>'Chart Sources'!$B$56:$B$65</c:f>
              <c:numCache>
                <c:formatCode>General</c:formatCode>
                <c:ptCount val="10"/>
                <c:pt idx="0">
                  <c:v>57.66</c:v>
                </c:pt>
                <c:pt idx="1">
                  <c:v>35.770000000000003</c:v>
                </c:pt>
                <c:pt idx="2">
                  <c:v>18.8</c:v>
                </c:pt>
                <c:pt idx="3">
                  <c:v>16.670000000000002</c:v>
                </c:pt>
                <c:pt idx="4">
                  <c:v>15.45</c:v>
                </c:pt>
                <c:pt idx="5">
                  <c:v>14.04</c:v>
                </c:pt>
                <c:pt idx="6">
                  <c:v>12.21</c:v>
                </c:pt>
                <c:pt idx="7">
                  <c:v>11.67</c:v>
                </c:pt>
                <c:pt idx="8">
                  <c:v>10.53</c:v>
                </c:pt>
                <c:pt idx="9">
                  <c:v>9.6300000000000008</c:v>
                </c:pt>
              </c:numCache>
            </c:numRef>
          </c:val>
          <c:extLst>
            <c:ext xmlns:c16="http://schemas.microsoft.com/office/drawing/2014/chart" uri="{C3380CC4-5D6E-409C-BE32-E72D297353CC}">
              <c16:uniqueId val="{00000000-46F4-499D-9606-997E829E0355}"/>
            </c:ext>
          </c:extLst>
        </c:ser>
        <c:dLbls>
          <c:showLegendKey val="0"/>
          <c:showVal val="0"/>
          <c:showCatName val="0"/>
          <c:showSerName val="0"/>
          <c:showPercent val="0"/>
          <c:showBubbleSize val="0"/>
        </c:dLbls>
        <c:gapWidth val="182"/>
        <c:axId val="254324559"/>
        <c:axId val="254341839"/>
      </c:barChart>
      <c:catAx>
        <c:axId val="2543245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341839"/>
        <c:crosses val="autoZero"/>
        <c:auto val="1"/>
        <c:lblAlgn val="ctr"/>
        <c:lblOffset val="100"/>
        <c:noMultiLvlLbl val="0"/>
      </c:catAx>
      <c:valAx>
        <c:axId val="25434183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Mising Rating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324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Sample Adjusted Rating Score by Hospital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'Chart Sources'!$B$68</c:f>
              <c:strCache>
                <c:ptCount val="1"/>
                <c:pt idx="0">
                  <c:v>sample_adjusted_rating_score</c:v>
                </c:pt>
              </c:strCache>
            </c:strRef>
          </c:tx>
          <c:spPr>
            <a:solidFill>
              <a:schemeClr val="accent1"/>
            </a:solidFill>
            <a:ln>
              <a:noFill/>
            </a:ln>
            <a:effectLst/>
          </c:spPr>
          <c:invertIfNegative val="0"/>
          <c:cat>
            <c:strRef>
              <c:f>'Chart Sources'!$A$69:$A$70</c:f>
              <c:strCache>
                <c:ptCount val="2"/>
                <c:pt idx="0">
                  <c:v>Acute Care Hospitals</c:v>
                </c:pt>
                <c:pt idx="1">
                  <c:v>Critical Access Hospitals</c:v>
                </c:pt>
              </c:strCache>
            </c:strRef>
          </c:cat>
          <c:val>
            <c:numRef>
              <c:f>'Chart Sources'!$B$69:$B$70</c:f>
              <c:numCache>
                <c:formatCode>General</c:formatCode>
                <c:ptCount val="2"/>
                <c:pt idx="0">
                  <c:v>2.99</c:v>
                </c:pt>
                <c:pt idx="1">
                  <c:v>3.21</c:v>
                </c:pt>
              </c:numCache>
            </c:numRef>
          </c:val>
          <c:extLst>
            <c:ext xmlns:c16="http://schemas.microsoft.com/office/drawing/2014/chart" uri="{C3380CC4-5D6E-409C-BE32-E72D297353CC}">
              <c16:uniqueId val="{00000000-BE94-456F-B91B-4E842BA27B92}"/>
            </c:ext>
          </c:extLst>
        </c:ser>
        <c:dLbls>
          <c:showLegendKey val="0"/>
          <c:showVal val="0"/>
          <c:showCatName val="0"/>
          <c:showSerName val="0"/>
          <c:showPercent val="0"/>
          <c:showBubbleSize val="0"/>
        </c:dLbls>
        <c:gapWidth val="182"/>
        <c:axId val="98762080"/>
        <c:axId val="98773120"/>
      </c:barChart>
      <c:catAx>
        <c:axId val="98762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773120"/>
        <c:crosses val="autoZero"/>
        <c:auto val="1"/>
        <c:lblAlgn val="ctr"/>
        <c:lblOffset val="100"/>
        <c:noMultiLvlLbl val="0"/>
      </c:catAx>
      <c:valAx>
        <c:axId val="98773120"/>
        <c:scaling>
          <c:orientation val="minMax"/>
          <c:max val="5"/>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Rating</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762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Sample Adjusted</a:t>
            </a:r>
            <a:r>
              <a:rPr lang="en-US" baseline="0"/>
              <a:t> Rating Score by Ownership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'Chart Sources'!$B$73</c:f>
              <c:strCache>
                <c:ptCount val="1"/>
                <c:pt idx="0">
                  <c:v>sample_adjusted_rating_score</c:v>
                </c:pt>
              </c:strCache>
            </c:strRef>
          </c:tx>
          <c:spPr>
            <a:solidFill>
              <a:schemeClr val="accent1"/>
            </a:solidFill>
            <a:ln>
              <a:noFill/>
            </a:ln>
            <a:effectLst/>
          </c:spPr>
          <c:invertIfNegative val="0"/>
          <c:cat>
            <c:strRef>
              <c:f>'Chart Sources'!$A$74:$A$83</c:f>
              <c:strCache>
                <c:ptCount val="10"/>
                <c:pt idx="0">
                  <c:v>Voluntary non-profit - Private</c:v>
                </c:pt>
                <c:pt idx="1">
                  <c:v>Voluntary non-profit - Church</c:v>
                </c:pt>
                <c:pt idx="2">
                  <c:v>Voluntary non-profit - Other</c:v>
                </c:pt>
                <c:pt idx="3">
                  <c:v>Government - Hospital District or Authority</c:v>
                </c:pt>
                <c:pt idx="4">
                  <c:v>Proprietary</c:v>
                </c:pt>
                <c:pt idx="5">
                  <c:v>Government - Local</c:v>
                </c:pt>
                <c:pt idx="6">
                  <c:v>Physician</c:v>
                </c:pt>
                <c:pt idx="7">
                  <c:v>Government - State</c:v>
                </c:pt>
                <c:pt idx="8">
                  <c:v>Government - Federal</c:v>
                </c:pt>
                <c:pt idx="9">
                  <c:v>Tribal</c:v>
                </c:pt>
              </c:strCache>
            </c:strRef>
          </c:cat>
          <c:val>
            <c:numRef>
              <c:f>'Chart Sources'!$B$74:$B$83</c:f>
              <c:numCache>
                <c:formatCode>General</c:formatCode>
                <c:ptCount val="10"/>
                <c:pt idx="0">
                  <c:v>3.09</c:v>
                </c:pt>
                <c:pt idx="1">
                  <c:v>2.99</c:v>
                </c:pt>
                <c:pt idx="2">
                  <c:v>2.99</c:v>
                </c:pt>
                <c:pt idx="3">
                  <c:v>2.85</c:v>
                </c:pt>
                <c:pt idx="4">
                  <c:v>2.74</c:v>
                </c:pt>
                <c:pt idx="5">
                  <c:v>2.73</c:v>
                </c:pt>
                <c:pt idx="6">
                  <c:v>1.88</c:v>
                </c:pt>
                <c:pt idx="7">
                  <c:v>1.8</c:v>
                </c:pt>
                <c:pt idx="8">
                  <c:v>1.31</c:v>
                </c:pt>
                <c:pt idx="9">
                  <c:v>0.23</c:v>
                </c:pt>
              </c:numCache>
            </c:numRef>
          </c:val>
          <c:extLst>
            <c:ext xmlns:c16="http://schemas.microsoft.com/office/drawing/2014/chart" uri="{C3380CC4-5D6E-409C-BE32-E72D297353CC}">
              <c16:uniqueId val="{00000000-8097-4F5B-A748-CD697C4A4413}"/>
            </c:ext>
          </c:extLst>
        </c:ser>
        <c:dLbls>
          <c:showLegendKey val="0"/>
          <c:showVal val="0"/>
          <c:showCatName val="0"/>
          <c:showSerName val="0"/>
          <c:showPercent val="0"/>
          <c:showBubbleSize val="0"/>
        </c:dLbls>
        <c:gapWidth val="182"/>
        <c:axId val="93250512"/>
        <c:axId val="93251952"/>
      </c:barChart>
      <c:catAx>
        <c:axId val="93250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251952"/>
        <c:crosses val="autoZero"/>
        <c:auto val="1"/>
        <c:lblAlgn val="ctr"/>
        <c:lblOffset val="100"/>
        <c:noMultiLvlLbl val="0"/>
      </c:catAx>
      <c:valAx>
        <c:axId val="93251952"/>
        <c:scaling>
          <c:orientation val="minMax"/>
          <c:max val="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Rating</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250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Sample Adjusted</a:t>
            </a:r>
            <a:r>
              <a:rPr lang="en-US" baseline="0"/>
              <a:t> Rating Score by Top 10 States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'Chart Sources'!$B$86</c:f>
              <c:strCache>
                <c:ptCount val="1"/>
                <c:pt idx="0">
                  <c:v>sample_adjusted_rating_score</c:v>
                </c:pt>
              </c:strCache>
            </c:strRef>
          </c:tx>
          <c:spPr>
            <a:solidFill>
              <a:schemeClr val="accent1"/>
            </a:solidFill>
            <a:ln>
              <a:noFill/>
            </a:ln>
            <a:effectLst/>
          </c:spPr>
          <c:invertIfNegative val="0"/>
          <c:cat>
            <c:strRef>
              <c:f>'Chart Sources'!$A$87:$A$96</c:f>
              <c:strCache>
                <c:ptCount val="10"/>
                <c:pt idx="0">
                  <c:v>TX</c:v>
                </c:pt>
                <c:pt idx="1">
                  <c:v>OH</c:v>
                </c:pt>
                <c:pt idx="2">
                  <c:v>IL</c:v>
                </c:pt>
                <c:pt idx="3">
                  <c:v>MI</c:v>
                </c:pt>
                <c:pt idx="4">
                  <c:v>CA</c:v>
                </c:pt>
                <c:pt idx="5">
                  <c:v>PA</c:v>
                </c:pt>
                <c:pt idx="6">
                  <c:v>KS</c:v>
                </c:pt>
                <c:pt idx="7">
                  <c:v>GA</c:v>
                </c:pt>
                <c:pt idx="8">
                  <c:v>FL</c:v>
                </c:pt>
                <c:pt idx="9">
                  <c:v>NY</c:v>
                </c:pt>
              </c:strCache>
            </c:strRef>
          </c:cat>
          <c:val>
            <c:numRef>
              <c:f>'Chart Sources'!$B$87:$B$96</c:f>
              <c:numCache>
                <c:formatCode>General</c:formatCode>
                <c:ptCount val="10"/>
                <c:pt idx="0">
                  <c:v>3</c:v>
                </c:pt>
                <c:pt idx="1">
                  <c:v>2.96</c:v>
                </c:pt>
                <c:pt idx="2">
                  <c:v>2.78</c:v>
                </c:pt>
                <c:pt idx="3">
                  <c:v>2.72</c:v>
                </c:pt>
                <c:pt idx="4">
                  <c:v>2.66</c:v>
                </c:pt>
                <c:pt idx="5">
                  <c:v>2.65</c:v>
                </c:pt>
                <c:pt idx="6">
                  <c:v>2.48</c:v>
                </c:pt>
                <c:pt idx="7">
                  <c:v>2.48</c:v>
                </c:pt>
                <c:pt idx="8">
                  <c:v>2.38</c:v>
                </c:pt>
                <c:pt idx="9">
                  <c:v>2.0499999999999998</c:v>
                </c:pt>
              </c:numCache>
            </c:numRef>
          </c:val>
          <c:extLst>
            <c:ext xmlns:c16="http://schemas.microsoft.com/office/drawing/2014/chart" uri="{C3380CC4-5D6E-409C-BE32-E72D297353CC}">
              <c16:uniqueId val="{00000000-9462-4B19-B24D-2F0E644F280E}"/>
            </c:ext>
          </c:extLst>
        </c:ser>
        <c:dLbls>
          <c:showLegendKey val="0"/>
          <c:showVal val="0"/>
          <c:showCatName val="0"/>
          <c:showSerName val="0"/>
          <c:showPercent val="0"/>
          <c:showBubbleSize val="0"/>
        </c:dLbls>
        <c:gapWidth val="182"/>
        <c:axId val="93247152"/>
        <c:axId val="93259632"/>
      </c:barChart>
      <c:catAx>
        <c:axId val="93247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259632"/>
        <c:crosses val="autoZero"/>
        <c:auto val="1"/>
        <c:lblAlgn val="ctr"/>
        <c:lblOffset val="100"/>
        <c:noMultiLvlLbl val="0"/>
      </c:catAx>
      <c:valAx>
        <c:axId val="93259632"/>
        <c:scaling>
          <c:orientation val="minMax"/>
          <c:max val="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Rating</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247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Below</a:t>
            </a:r>
            <a:r>
              <a:rPr lang="en-US" baseline="0"/>
              <a:t> Average Percentage by Quality Domains</a:t>
            </a:r>
            <a:endParaRPr lang="en-US"/>
          </a:p>
        </c:rich>
      </c:tx>
      <c:layout>
        <c:manualLayout>
          <c:xMode val="edge"/>
          <c:yMode val="edge"/>
          <c:x val="0.1415415573053368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'Chart Sources'!$B$99</c:f>
              <c:strCache>
                <c:ptCount val="1"/>
                <c:pt idx="0">
                  <c:v>below_average_pct</c:v>
                </c:pt>
              </c:strCache>
            </c:strRef>
          </c:tx>
          <c:spPr>
            <a:solidFill>
              <a:schemeClr val="accent1"/>
            </a:solidFill>
            <a:ln>
              <a:noFill/>
            </a:ln>
            <a:effectLst/>
          </c:spPr>
          <c:invertIfNegative val="0"/>
          <c:cat>
            <c:strRef>
              <c:f>'Chart Sources'!$A$100:$A$106</c:f>
              <c:strCache>
                <c:ptCount val="7"/>
                <c:pt idx="0">
                  <c:v>Patient Experience</c:v>
                </c:pt>
                <c:pt idx="1">
                  <c:v>Timeliness of Care</c:v>
                </c:pt>
                <c:pt idx="2">
                  <c:v>Safety of Care</c:v>
                </c:pt>
                <c:pt idx="3">
                  <c:v>Readmission</c:v>
                </c:pt>
                <c:pt idx="4">
                  <c:v>Efficient Use of Medical Imaging</c:v>
                </c:pt>
                <c:pt idx="5">
                  <c:v>Mortality</c:v>
                </c:pt>
                <c:pt idx="6">
                  <c:v>Effectiveness of Care</c:v>
                </c:pt>
              </c:strCache>
            </c:strRef>
          </c:cat>
          <c:val>
            <c:numRef>
              <c:f>'Chart Sources'!$B$100:$B$106</c:f>
              <c:numCache>
                <c:formatCode>General</c:formatCode>
                <c:ptCount val="7"/>
                <c:pt idx="0">
                  <c:v>31.4</c:v>
                </c:pt>
                <c:pt idx="1">
                  <c:v>25.49</c:v>
                </c:pt>
                <c:pt idx="2">
                  <c:v>25.11</c:v>
                </c:pt>
                <c:pt idx="3">
                  <c:v>22.82</c:v>
                </c:pt>
                <c:pt idx="4">
                  <c:v>13.31</c:v>
                </c:pt>
                <c:pt idx="5">
                  <c:v>9.86</c:v>
                </c:pt>
                <c:pt idx="6">
                  <c:v>6.7</c:v>
                </c:pt>
              </c:numCache>
            </c:numRef>
          </c:val>
          <c:extLst>
            <c:ext xmlns:c16="http://schemas.microsoft.com/office/drawing/2014/chart" uri="{C3380CC4-5D6E-409C-BE32-E72D297353CC}">
              <c16:uniqueId val="{00000000-EC65-4C0A-B905-C7139A414A2E}"/>
            </c:ext>
          </c:extLst>
        </c:ser>
        <c:dLbls>
          <c:showLegendKey val="0"/>
          <c:showVal val="0"/>
          <c:showCatName val="0"/>
          <c:showSerName val="0"/>
          <c:showPercent val="0"/>
          <c:showBubbleSize val="0"/>
        </c:dLbls>
        <c:gapWidth val="182"/>
        <c:axId val="98764000"/>
        <c:axId val="98769760"/>
      </c:barChart>
      <c:catAx>
        <c:axId val="987640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769760"/>
        <c:crosses val="autoZero"/>
        <c:auto val="1"/>
        <c:lblAlgn val="ctr"/>
        <c:lblOffset val="100"/>
        <c:noMultiLvlLbl val="0"/>
      </c:catAx>
      <c:valAx>
        <c:axId val="98769760"/>
        <c:scaling>
          <c:orientation val="minMax"/>
          <c:max val="1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Below Average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764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Missing Percentage by Quality</a:t>
            </a:r>
            <a:r>
              <a:rPr lang="en-US" baseline="0"/>
              <a:t> Domains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'Chart Sources'!$B$108</c:f>
              <c:strCache>
                <c:ptCount val="1"/>
                <c:pt idx="0">
                  <c:v>missing_pct</c:v>
                </c:pt>
              </c:strCache>
            </c:strRef>
          </c:tx>
          <c:spPr>
            <a:solidFill>
              <a:schemeClr val="accent1"/>
            </a:solidFill>
            <a:ln>
              <a:noFill/>
            </a:ln>
            <a:effectLst/>
          </c:spPr>
          <c:invertIfNegative val="0"/>
          <c:cat>
            <c:strRef>
              <c:f>'Chart Sources'!$A$109:$A$115</c:f>
              <c:strCache>
                <c:ptCount val="7"/>
                <c:pt idx="0">
                  <c:v>Safety of Care</c:v>
                </c:pt>
                <c:pt idx="1">
                  <c:v>Efficient Use of Medical Imaging</c:v>
                </c:pt>
                <c:pt idx="2">
                  <c:v>Patient Experience</c:v>
                </c:pt>
                <c:pt idx="3">
                  <c:v>Mortality</c:v>
                </c:pt>
                <c:pt idx="4">
                  <c:v>Timeliness of Care</c:v>
                </c:pt>
                <c:pt idx="5">
                  <c:v>Effectiveness of Care</c:v>
                </c:pt>
                <c:pt idx="6">
                  <c:v>Readmission</c:v>
                </c:pt>
              </c:strCache>
            </c:strRef>
          </c:cat>
          <c:val>
            <c:numRef>
              <c:f>'Chart Sources'!$B$109:$B$115</c:f>
              <c:numCache>
                <c:formatCode>General</c:formatCode>
                <c:ptCount val="7"/>
                <c:pt idx="0">
                  <c:v>45.05</c:v>
                </c:pt>
                <c:pt idx="1">
                  <c:v>42.25</c:v>
                </c:pt>
                <c:pt idx="2">
                  <c:v>28.45</c:v>
                </c:pt>
                <c:pt idx="3">
                  <c:v>28.1</c:v>
                </c:pt>
                <c:pt idx="4">
                  <c:v>26.31</c:v>
                </c:pt>
                <c:pt idx="5">
                  <c:v>24.98</c:v>
                </c:pt>
                <c:pt idx="6">
                  <c:v>21.13</c:v>
                </c:pt>
              </c:numCache>
            </c:numRef>
          </c:val>
          <c:extLst>
            <c:ext xmlns:c16="http://schemas.microsoft.com/office/drawing/2014/chart" uri="{C3380CC4-5D6E-409C-BE32-E72D297353CC}">
              <c16:uniqueId val="{00000000-147C-4881-9DF2-23CA2D6B6560}"/>
            </c:ext>
          </c:extLst>
        </c:ser>
        <c:dLbls>
          <c:showLegendKey val="0"/>
          <c:showVal val="0"/>
          <c:showCatName val="0"/>
          <c:showSerName val="0"/>
          <c:showPercent val="0"/>
          <c:showBubbleSize val="0"/>
        </c:dLbls>
        <c:gapWidth val="182"/>
        <c:axId val="2010165471"/>
        <c:axId val="2010166911"/>
      </c:barChart>
      <c:catAx>
        <c:axId val="20101654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0166911"/>
        <c:crosses val="autoZero"/>
        <c:auto val="1"/>
        <c:lblAlgn val="ctr"/>
        <c:lblOffset val="100"/>
        <c:noMultiLvlLbl val="0"/>
      </c:catAx>
      <c:valAx>
        <c:axId val="2010166911"/>
        <c:scaling>
          <c:orientation val="minMax"/>
          <c:max val="1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Missing Comparison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0165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[hospital_quality_report.xlsx]Pivot 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States by Below-Average</a:t>
            </a:r>
            <a:r>
              <a:rPr lang="en-US" baseline="0"/>
              <a:t> Rate and Compared Records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Analysis'!$B$5</c:f>
              <c:strCache>
                <c:ptCount val="1"/>
                <c:pt idx="0">
                  <c:v>Below-average %</c:v>
                </c:pt>
              </c:strCache>
            </c:strRef>
          </c:tx>
          <c:spPr>
            <a:solidFill>
              <a:schemeClr val="accent1"/>
            </a:solidFill>
            <a:ln>
              <a:noFill/>
            </a:ln>
            <a:effectLst/>
          </c:spPr>
          <c:invertIfNegative val="0"/>
          <c:cat>
            <c:strRef>
              <c:f>'Pivot Analysis'!$A$6:$A$20</c:f>
              <c:strCache>
                <c:ptCount val="15"/>
                <c:pt idx="0">
                  <c:v>LA</c:v>
                </c:pt>
                <c:pt idx="1">
                  <c:v>OK</c:v>
                </c:pt>
                <c:pt idx="2">
                  <c:v>AL</c:v>
                </c:pt>
                <c:pt idx="3">
                  <c:v>WV</c:v>
                </c:pt>
                <c:pt idx="4">
                  <c:v>AR</c:v>
                </c:pt>
                <c:pt idx="5">
                  <c:v>TX</c:v>
                </c:pt>
                <c:pt idx="6">
                  <c:v>KS</c:v>
                </c:pt>
                <c:pt idx="7">
                  <c:v>WY</c:v>
                </c:pt>
                <c:pt idx="8">
                  <c:v>MS</c:v>
                </c:pt>
                <c:pt idx="9">
                  <c:v>IA</c:v>
                </c:pt>
                <c:pt idx="10">
                  <c:v>KY</c:v>
                </c:pt>
                <c:pt idx="11">
                  <c:v>CA</c:v>
                </c:pt>
                <c:pt idx="12">
                  <c:v>AZ</c:v>
                </c:pt>
                <c:pt idx="13">
                  <c:v>PA</c:v>
                </c:pt>
                <c:pt idx="14">
                  <c:v>NM</c:v>
                </c:pt>
              </c:strCache>
            </c:strRef>
          </c:cat>
          <c:val>
            <c:numRef>
              <c:f>'Pivot Analysis'!$B$6:$B$20</c:f>
              <c:numCache>
                <c:formatCode>0.00</c:formatCode>
                <c:ptCount val="15"/>
                <c:pt idx="0">
                  <c:v>62.96</c:v>
                </c:pt>
                <c:pt idx="1">
                  <c:v>40.35</c:v>
                </c:pt>
                <c:pt idx="2">
                  <c:v>28.33</c:v>
                </c:pt>
                <c:pt idx="3">
                  <c:v>28.13</c:v>
                </c:pt>
                <c:pt idx="4">
                  <c:v>27.91</c:v>
                </c:pt>
                <c:pt idx="5">
                  <c:v>23.83</c:v>
                </c:pt>
                <c:pt idx="6">
                  <c:v>22.92</c:v>
                </c:pt>
                <c:pt idx="7">
                  <c:v>22.22</c:v>
                </c:pt>
                <c:pt idx="8">
                  <c:v>20.83</c:v>
                </c:pt>
                <c:pt idx="9">
                  <c:v>20.45</c:v>
                </c:pt>
                <c:pt idx="10">
                  <c:v>19.12</c:v>
                </c:pt>
                <c:pt idx="11">
                  <c:v>17.37</c:v>
                </c:pt>
                <c:pt idx="12">
                  <c:v>16.670000000000002</c:v>
                </c:pt>
                <c:pt idx="13">
                  <c:v>16.260000000000002</c:v>
                </c:pt>
                <c:pt idx="14">
                  <c:v>15</c:v>
                </c:pt>
              </c:numCache>
            </c:numRef>
          </c:val>
          <c:extLst>
            <c:ext xmlns:c16="http://schemas.microsoft.com/office/drawing/2014/chart" uri="{C3380CC4-5D6E-409C-BE32-E72D297353CC}">
              <c16:uniqueId val="{00000000-144A-4C4D-8D73-BC76ED210B79}"/>
            </c:ext>
          </c:extLst>
        </c:ser>
        <c:dLbls>
          <c:showLegendKey val="0"/>
          <c:showVal val="0"/>
          <c:showCatName val="0"/>
          <c:showSerName val="0"/>
          <c:showPercent val="0"/>
          <c:showBubbleSize val="0"/>
        </c:dLbls>
        <c:gapWidth val="500"/>
        <c:axId val="1941261120"/>
        <c:axId val="1941260160"/>
      </c:barChart>
      <c:lineChart>
        <c:grouping val="standard"/>
        <c:varyColors val="0"/>
        <c:ser>
          <c:idx val="1"/>
          <c:order val="1"/>
          <c:tx>
            <c:strRef>
              <c:f>'Pivot Analysis'!$C$5</c:f>
              <c:strCache>
                <c:ptCount val="1"/>
                <c:pt idx="0">
                  <c:v>Sum of compared records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Analysis'!$A$6:$A$20</c:f>
              <c:strCache>
                <c:ptCount val="15"/>
                <c:pt idx="0">
                  <c:v>LA</c:v>
                </c:pt>
                <c:pt idx="1">
                  <c:v>OK</c:v>
                </c:pt>
                <c:pt idx="2">
                  <c:v>AL</c:v>
                </c:pt>
                <c:pt idx="3">
                  <c:v>WV</c:v>
                </c:pt>
                <c:pt idx="4">
                  <c:v>AR</c:v>
                </c:pt>
                <c:pt idx="5">
                  <c:v>TX</c:v>
                </c:pt>
                <c:pt idx="6">
                  <c:v>KS</c:v>
                </c:pt>
                <c:pt idx="7">
                  <c:v>WY</c:v>
                </c:pt>
                <c:pt idx="8">
                  <c:v>MS</c:v>
                </c:pt>
                <c:pt idx="9">
                  <c:v>IA</c:v>
                </c:pt>
                <c:pt idx="10">
                  <c:v>KY</c:v>
                </c:pt>
                <c:pt idx="11">
                  <c:v>CA</c:v>
                </c:pt>
                <c:pt idx="12">
                  <c:v>AZ</c:v>
                </c:pt>
                <c:pt idx="13">
                  <c:v>PA</c:v>
                </c:pt>
                <c:pt idx="14">
                  <c:v>NM</c:v>
                </c:pt>
              </c:strCache>
            </c:strRef>
          </c:cat>
          <c:val>
            <c:numRef>
              <c:f>'Pivot Analysis'!$C$6:$C$20</c:f>
              <c:numCache>
                <c:formatCode>General</c:formatCode>
                <c:ptCount val="15"/>
                <c:pt idx="0">
                  <c:v>54</c:v>
                </c:pt>
                <c:pt idx="1">
                  <c:v>57</c:v>
                </c:pt>
                <c:pt idx="2">
                  <c:v>60</c:v>
                </c:pt>
                <c:pt idx="3">
                  <c:v>32</c:v>
                </c:pt>
                <c:pt idx="4">
                  <c:v>43</c:v>
                </c:pt>
                <c:pt idx="5">
                  <c:v>193</c:v>
                </c:pt>
                <c:pt idx="6">
                  <c:v>48</c:v>
                </c:pt>
                <c:pt idx="7">
                  <c:v>9</c:v>
                </c:pt>
                <c:pt idx="8">
                  <c:v>48</c:v>
                </c:pt>
                <c:pt idx="9">
                  <c:v>44</c:v>
                </c:pt>
                <c:pt idx="10">
                  <c:v>68</c:v>
                </c:pt>
                <c:pt idx="11">
                  <c:v>190</c:v>
                </c:pt>
                <c:pt idx="12">
                  <c:v>42</c:v>
                </c:pt>
                <c:pt idx="13">
                  <c:v>123</c:v>
                </c:pt>
                <c:pt idx="14">
                  <c:v>20</c:v>
                </c:pt>
              </c:numCache>
            </c:numRef>
          </c:val>
          <c:smooth val="0"/>
          <c:extLst>
            <c:ext xmlns:c16="http://schemas.microsoft.com/office/drawing/2014/chart" uri="{C3380CC4-5D6E-409C-BE32-E72D297353CC}">
              <c16:uniqueId val="{00000003-144A-4C4D-8D73-BC76ED210B79}"/>
            </c:ext>
          </c:extLst>
        </c:ser>
        <c:dLbls>
          <c:showLegendKey val="0"/>
          <c:showVal val="0"/>
          <c:showCatName val="0"/>
          <c:showSerName val="0"/>
          <c:showPercent val="0"/>
          <c:showBubbleSize val="0"/>
        </c:dLbls>
        <c:marker val="1"/>
        <c:smooth val="0"/>
        <c:axId val="94894496"/>
        <c:axId val="94896416"/>
      </c:lineChart>
      <c:catAx>
        <c:axId val="94894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896416"/>
        <c:crosses val="autoZero"/>
        <c:auto val="1"/>
        <c:lblAlgn val="ctr"/>
        <c:lblOffset val="100"/>
        <c:noMultiLvlLbl val="0"/>
      </c:catAx>
      <c:valAx>
        <c:axId val="948964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chemeClr val="tx2"/>
                    </a:solidFill>
                  </a:rPr>
                  <a:t>Below</a:t>
                </a:r>
                <a:r>
                  <a:rPr lang="en-US" baseline="0">
                    <a:solidFill>
                      <a:schemeClr val="tx2"/>
                    </a:solidFill>
                  </a:rPr>
                  <a:t>-Average %</a:t>
                </a:r>
                <a:endParaRPr lang="en-US">
                  <a:solidFill>
                    <a:schemeClr val="tx2"/>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crossAx val="94894496"/>
        <c:crosses val="autoZero"/>
        <c:crossBetween val="between"/>
      </c:valAx>
      <c:valAx>
        <c:axId val="1941260160"/>
        <c:scaling>
          <c:orientation val="minMax"/>
          <c:max val="100"/>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chemeClr val="accent2"/>
                    </a:solidFill>
                  </a:rPr>
                  <a:t>Sum of Compared Records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solidFill>
            <a:sysClr val="window" lastClr="FFFFFF"/>
          </a:solid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41261120"/>
        <c:crosses val="max"/>
        <c:crossBetween val="between"/>
      </c:valAx>
      <c:catAx>
        <c:axId val="1941261120"/>
        <c:scaling>
          <c:orientation val="minMax"/>
        </c:scaling>
        <c:delete val="1"/>
        <c:axPos val="b"/>
        <c:numFmt formatCode="General" sourceLinked="1"/>
        <c:majorTickMark val="out"/>
        <c:minorTickMark val="none"/>
        <c:tickLblPos val="nextTo"/>
        <c:crossAx val="1941260160"/>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Hospitals by Top 10 States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'Chart Sources'!$B$20</c:f>
              <c:strCache>
                <c:ptCount val="1"/>
                <c:pt idx="0">
                  <c:v>total_hospitals</c:v>
                </c:pt>
              </c:strCache>
            </c:strRef>
          </c:tx>
          <c:spPr>
            <a:solidFill>
              <a:schemeClr val="accent1"/>
            </a:solidFill>
            <a:ln>
              <a:noFill/>
            </a:ln>
            <a:effectLst/>
          </c:spPr>
          <c:invertIfNegative val="0"/>
          <c:cat>
            <c:strRef>
              <c:f>'Chart Sources'!$A$21:$A$30</c:f>
              <c:strCache>
                <c:ptCount val="10"/>
                <c:pt idx="0">
                  <c:v>TX</c:v>
                </c:pt>
                <c:pt idx="1">
                  <c:v>CA</c:v>
                </c:pt>
                <c:pt idx="2">
                  <c:v>FL</c:v>
                </c:pt>
                <c:pt idx="3">
                  <c:v>IL</c:v>
                </c:pt>
                <c:pt idx="4">
                  <c:v>NY</c:v>
                </c:pt>
                <c:pt idx="5">
                  <c:v>PA</c:v>
                </c:pt>
                <c:pt idx="6">
                  <c:v>OH</c:v>
                </c:pt>
                <c:pt idx="7">
                  <c:v>KS</c:v>
                </c:pt>
                <c:pt idx="8">
                  <c:v>GA</c:v>
                </c:pt>
                <c:pt idx="9">
                  <c:v>MI</c:v>
                </c:pt>
              </c:strCache>
            </c:strRef>
          </c:cat>
          <c:val>
            <c:numRef>
              <c:f>'Chart Sources'!$B$21:$B$30</c:f>
              <c:numCache>
                <c:formatCode>General</c:formatCode>
                <c:ptCount val="10"/>
                <c:pt idx="0">
                  <c:v>411</c:v>
                </c:pt>
                <c:pt idx="1">
                  <c:v>343</c:v>
                </c:pt>
                <c:pt idx="2">
                  <c:v>187</c:v>
                </c:pt>
                <c:pt idx="3">
                  <c:v>180</c:v>
                </c:pt>
                <c:pt idx="4">
                  <c:v>171</c:v>
                </c:pt>
                <c:pt idx="5">
                  <c:v>171</c:v>
                </c:pt>
                <c:pt idx="6">
                  <c:v>168</c:v>
                </c:pt>
                <c:pt idx="7">
                  <c:v>137</c:v>
                </c:pt>
                <c:pt idx="8">
                  <c:v>133</c:v>
                </c:pt>
                <c:pt idx="9">
                  <c:v>131</c:v>
                </c:pt>
              </c:numCache>
            </c:numRef>
          </c:val>
          <c:extLst>
            <c:ext xmlns:c16="http://schemas.microsoft.com/office/drawing/2014/chart" uri="{C3380CC4-5D6E-409C-BE32-E72D297353CC}">
              <c16:uniqueId val="{00000000-99B1-4F4B-8F12-2F41307DBD9A}"/>
            </c:ext>
          </c:extLst>
        </c:ser>
        <c:dLbls>
          <c:showLegendKey val="0"/>
          <c:showVal val="0"/>
          <c:showCatName val="0"/>
          <c:showSerName val="0"/>
          <c:showPercent val="0"/>
          <c:showBubbleSize val="0"/>
        </c:dLbls>
        <c:gapWidth val="182"/>
        <c:axId val="254355279"/>
        <c:axId val="254352879"/>
      </c:barChart>
      <c:catAx>
        <c:axId val="2543552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352879"/>
        <c:crosses val="autoZero"/>
        <c:auto val="1"/>
        <c:lblAlgn val="ctr"/>
        <c:lblOffset val="100"/>
        <c:noMultiLvlLbl val="0"/>
      </c:catAx>
      <c:valAx>
        <c:axId val="25435287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Hospitals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355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0</xdr:col>
      <xdr:colOff>43296</xdr:colOff>
      <xdr:row>27</xdr:row>
      <xdr:rowOff>0</xdr:rowOff>
    </xdr:from>
    <xdr:to>
      <xdr:col>7</xdr:col>
      <xdr:colOff>588818</xdr:colOff>
      <xdr:row>48</xdr:row>
      <xdr:rowOff>121227</xdr:rowOff>
    </xdr:to>
    <xdr:graphicFrame macro="">
      <xdr:nvGraphicFramePr>
        <xdr:cNvPr id="3" name="Chart 2">
          <a:extLst>
            <a:ext uri="{FF2B5EF4-FFF2-40B4-BE49-F238E27FC236}">
              <a16:creationId xmlns:a16="http://schemas.microsoft.com/office/drawing/2014/main" id="{5509CC62-64E2-4968-945D-BB3B43129D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588818</xdr:colOff>
      <xdr:row>27</xdr:row>
      <xdr:rowOff>10737</xdr:rowOff>
    </xdr:from>
    <xdr:to>
      <xdr:col>19</xdr:col>
      <xdr:colOff>562841</xdr:colOff>
      <xdr:row>48</xdr:row>
      <xdr:rowOff>147205</xdr:rowOff>
    </xdr:to>
    <xdr:graphicFrame macro="">
      <xdr:nvGraphicFramePr>
        <xdr:cNvPr id="6" name="Chart 5">
          <a:extLst>
            <a:ext uri="{FF2B5EF4-FFF2-40B4-BE49-F238E27FC236}">
              <a16:creationId xmlns:a16="http://schemas.microsoft.com/office/drawing/2014/main" id="{CC019D51-2BE9-457E-8F02-6EBBA8A425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5</xdr:row>
      <xdr:rowOff>22860</xdr:rowOff>
    </xdr:from>
    <xdr:to>
      <xdr:col>7</xdr:col>
      <xdr:colOff>373380</xdr:colOff>
      <xdr:row>21</xdr:row>
      <xdr:rowOff>175260</xdr:rowOff>
    </xdr:to>
    <xdr:graphicFrame macro="">
      <xdr:nvGraphicFramePr>
        <xdr:cNvPr id="7" name="Chart 6">
          <a:extLst>
            <a:ext uri="{FF2B5EF4-FFF2-40B4-BE49-F238E27FC236}">
              <a16:creationId xmlns:a16="http://schemas.microsoft.com/office/drawing/2014/main" id="{2C3D9EBB-7C15-4745-B258-CDA232629A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4</xdr:row>
      <xdr:rowOff>175260</xdr:rowOff>
    </xdr:from>
    <xdr:to>
      <xdr:col>19</xdr:col>
      <xdr:colOff>53340</xdr:colOff>
      <xdr:row>22</xdr:row>
      <xdr:rowOff>0</xdr:rowOff>
    </xdr:to>
    <xdr:graphicFrame macro="">
      <xdr:nvGraphicFramePr>
        <xdr:cNvPr id="8" name="Chart 7">
          <a:extLst>
            <a:ext uri="{FF2B5EF4-FFF2-40B4-BE49-F238E27FC236}">
              <a16:creationId xmlns:a16="http://schemas.microsoft.com/office/drawing/2014/main" id="{0555C269-DD10-41DD-A1D2-444A9EB2F0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398318</xdr:colOff>
      <xdr:row>5</xdr:row>
      <xdr:rowOff>17317</xdr:rowOff>
    </xdr:from>
    <xdr:to>
      <xdr:col>28</xdr:col>
      <xdr:colOff>415637</xdr:colOff>
      <xdr:row>24</xdr:row>
      <xdr:rowOff>51954</xdr:rowOff>
    </xdr:to>
    <xdr:graphicFrame macro="">
      <xdr:nvGraphicFramePr>
        <xdr:cNvPr id="9" name="Chart 8">
          <a:extLst>
            <a:ext uri="{FF2B5EF4-FFF2-40B4-BE49-F238E27FC236}">
              <a16:creationId xmlns:a16="http://schemas.microsoft.com/office/drawing/2014/main" id="{1698A1CE-3F92-49F9-8148-5213DA4CCD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0</xdr:colOff>
      <xdr:row>26</xdr:row>
      <xdr:rowOff>181840</xdr:rowOff>
    </xdr:from>
    <xdr:to>
      <xdr:col>29</xdr:col>
      <xdr:colOff>458931</xdr:colOff>
      <xdr:row>49</xdr:row>
      <xdr:rowOff>43294</xdr:rowOff>
    </xdr:to>
    <xdr:graphicFrame macro="">
      <xdr:nvGraphicFramePr>
        <xdr:cNvPr id="10" name="Chart 9">
          <a:extLst>
            <a:ext uri="{FF2B5EF4-FFF2-40B4-BE49-F238E27FC236}">
              <a16:creationId xmlns:a16="http://schemas.microsoft.com/office/drawing/2014/main" id="{154E8B2C-80DD-46CF-91A6-7192E07133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53</xdr:row>
      <xdr:rowOff>181840</xdr:rowOff>
    </xdr:from>
    <xdr:to>
      <xdr:col>8</xdr:col>
      <xdr:colOff>69273</xdr:colOff>
      <xdr:row>73</xdr:row>
      <xdr:rowOff>164523</xdr:rowOff>
    </xdr:to>
    <xdr:graphicFrame macro="">
      <xdr:nvGraphicFramePr>
        <xdr:cNvPr id="11" name="Chart 10">
          <a:extLst>
            <a:ext uri="{FF2B5EF4-FFF2-40B4-BE49-F238E27FC236}">
              <a16:creationId xmlns:a16="http://schemas.microsoft.com/office/drawing/2014/main" id="{00058BD3-81FF-43C8-9BB2-9E138BA383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0</xdr:colOff>
      <xdr:row>53</xdr:row>
      <xdr:rowOff>181840</xdr:rowOff>
    </xdr:from>
    <xdr:to>
      <xdr:col>20</xdr:col>
      <xdr:colOff>25978</xdr:colOff>
      <xdr:row>74</xdr:row>
      <xdr:rowOff>25976</xdr:rowOff>
    </xdr:to>
    <xdr:graphicFrame macro="">
      <xdr:nvGraphicFramePr>
        <xdr:cNvPr id="12" name="Chart 11">
          <a:extLst>
            <a:ext uri="{FF2B5EF4-FFF2-40B4-BE49-F238E27FC236}">
              <a16:creationId xmlns:a16="http://schemas.microsoft.com/office/drawing/2014/main" id="{B4C11B4C-B1F1-434C-A9CD-EC8E5E51FB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21</xdr:col>
      <xdr:colOff>8659</xdr:colOff>
      <xdr:row>53</xdr:row>
      <xdr:rowOff>138545</xdr:rowOff>
    </xdr:from>
    <xdr:to>
      <xdr:col>29</xdr:col>
      <xdr:colOff>493568</xdr:colOff>
      <xdr:row>74</xdr:row>
      <xdr:rowOff>17318</xdr:rowOff>
    </xdr:to>
    <xdr:graphicFrame macro="">
      <xdr:nvGraphicFramePr>
        <xdr:cNvPr id="13" name="Chart 12">
          <a:extLst>
            <a:ext uri="{FF2B5EF4-FFF2-40B4-BE49-F238E27FC236}">
              <a16:creationId xmlns:a16="http://schemas.microsoft.com/office/drawing/2014/main" id="{AB945120-C1A2-4D24-A2AC-6BAC1BB544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25976</xdr:colOff>
      <xdr:row>80</xdr:row>
      <xdr:rowOff>155864</xdr:rowOff>
    </xdr:from>
    <xdr:to>
      <xdr:col>9</xdr:col>
      <xdr:colOff>580159</xdr:colOff>
      <xdr:row>99</xdr:row>
      <xdr:rowOff>164523</xdr:rowOff>
    </xdr:to>
    <xdr:graphicFrame macro="">
      <xdr:nvGraphicFramePr>
        <xdr:cNvPr id="2" name="Chart 1">
          <a:extLst>
            <a:ext uri="{FF2B5EF4-FFF2-40B4-BE49-F238E27FC236}">
              <a16:creationId xmlns:a16="http://schemas.microsoft.com/office/drawing/2014/main" id="{1358F8DE-9542-4A42-AD02-A0E1257668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355022</xdr:colOff>
      <xdr:row>80</xdr:row>
      <xdr:rowOff>95250</xdr:rowOff>
    </xdr:from>
    <xdr:to>
      <xdr:col>21</xdr:col>
      <xdr:colOff>277089</xdr:colOff>
      <xdr:row>100</xdr:row>
      <xdr:rowOff>51956</xdr:rowOff>
    </xdr:to>
    <xdr:graphicFrame macro="">
      <xdr:nvGraphicFramePr>
        <xdr:cNvPr id="4" name="Chart 3">
          <a:extLst>
            <a:ext uri="{FF2B5EF4-FFF2-40B4-BE49-F238E27FC236}">
              <a16:creationId xmlns:a16="http://schemas.microsoft.com/office/drawing/2014/main" id="{CF070A7E-99C8-4855-A584-C62E6AD3DE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23</xdr:col>
      <xdr:colOff>127288</xdr:colOff>
      <xdr:row>0</xdr:row>
      <xdr:rowOff>79664</xdr:rowOff>
    </xdr:from>
    <xdr:to>
      <xdr:col>35</xdr:col>
      <xdr:colOff>389658</xdr:colOff>
      <xdr:row>4</xdr:row>
      <xdr:rowOff>86591</xdr:rowOff>
    </xdr:to>
    <xdr:sp macro="" textlink="">
      <xdr:nvSpPr>
        <xdr:cNvPr id="5" name="TextBox 4">
          <a:extLst>
            <a:ext uri="{FF2B5EF4-FFF2-40B4-BE49-F238E27FC236}">
              <a16:creationId xmlns:a16="http://schemas.microsoft.com/office/drawing/2014/main" id="{8BD90590-3486-4295-47B4-DF4E18481F91}"/>
            </a:ext>
          </a:extLst>
        </xdr:cNvPr>
        <xdr:cNvSpPr txBox="1"/>
      </xdr:nvSpPr>
      <xdr:spPr>
        <a:xfrm>
          <a:off x="14068424" y="79664"/>
          <a:ext cx="7536007" cy="92479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t>Key notes:</a:t>
          </a:r>
        </a:p>
        <a:p>
          <a:r>
            <a:rPr lang="en-US" sz="1000"/>
            <a:t>- Missing ratings are treated as missing values, not zeroes.</a:t>
          </a:r>
        </a:p>
        <a:p>
          <a:r>
            <a:rPr lang="en-US" sz="1000"/>
            <a:t>- Children’s hospitals have no overall ratings in this dataset, so they are excluded from rating ranking comparisons.</a:t>
          </a:r>
        </a:p>
        <a:p>
          <a:r>
            <a:rPr lang="en-US" sz="1000"/>
            <a:t>- Sample-adjusted rating score is an internal ranking aid, not an official CMS metric.</a:t>
          </a:r>
        </a:p>
        <a:p>
          <a:r>
            <a:rPr lang="en-US" sz="1000"/>
            <a:t>- Quality-domain percentages are based on CMS national comparison fields.</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449580</xdr:colOff>
      <xdr:row>4</xdr:row>
      <xdr:rowOff>144781</xdr:rowOff>
    </xdr:from>
    <xdr:to>
      <xdr:col>6</xdr:col>
      <xdr:colOff>723900</xdr:colOff>
      <xdr:row>18</xdr:row>
      <xdr:rowOff>38100</xdr:rowOff>
    </xdr:to>
    <mc:AlternateContent xmlns:mc="http://schemas.openxmlformats.org/markup-compatibility/2006">
      <mc:Choice xmlns:a14="http://schemas.microsoft.com/office/drawing/2010/main" Requires="a14">
        <xdr:graphicFrame macro="">
          <xdr:nvGraphicFramePr>
            <xdr:cNvPr id="2" name="quality_domain">
              <a:extLst>
                <a:ext uri="{FF2B5EF4-FFF2-40B4-BE49-F238E27FC236}">
                  <a16:creationId xmlns:a16="http://schemas.microsoft.com/office/drawing/2014/main" id="{983B7139-3A72-02FB-09F4-3D4D1030C32E}"/>
                </a:ext>
              </a:extLst>
            </xdr:cNvPr>
            <xdr:cNvGraphicFramePr/>
          </xdr:nvGraphicFramePr>
          <xdr:xfrm>
            <a:off x="0" y="0"/>
            <a:ext cx="0" cy="0"/>
          </xdr:xfrm>
          <a:graphic>
            <a:graphicData uri="http://schemas.microsoft.com/office/drawing/2010/slicer">
              <sle:slicer xmlns:sle="http://schemas.microsoft.com/office/drawing/2010/slicer" name="quality_domain"/>
            </a:graphicData>
          </a:graphic>
        </xdr:graphicFrame>
      </mc:Choice>
      <mc:Fallback>
        <xdr:sp macro="" textlink="">
          <xdr:nvSpPr>
            <xdr:cNvPr id="0" name=""/>
            <xdr:cNvSpPr>
              <a:spLocks noTextEdit="1"/>
            </xdr:cNvSpPr>
          </xdr:nvSpPr>
          <xdr:spPr>
            <a:xfrm>
              <a:off x="7726680" y="922021"/>
              <a:ext cx="2225040" cy="24536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2</xdr:col>
      <xdr:colOff>579120</xdr:colOff>
      <xdr:row>2</xdr:row>
      <xdr:rowOff>0</xdr:rowOff>
    </xdr:from>
    <xdr:ext cx="184731" cy="233205"/>
    <xdr:sp macro="" textlink="">
      <xdr:nvSpPr>
        <xdr:cNvPr id="3" name="TextBox 2">
          <a:extLst>
            <a:ext uri="{FF2B5EF4-FFF2-40B4-BE49-F238E27FC236}">
              <a16:creationId xmlns:a16="http://schemas.microsoft.com/office/drawing/2014/main" id="{B9B76ED8-74A2-4425-3735-CD4F18679F41}"/>
            </a:ext>
          </a:extLst>
        </xdr:cNvPr>
        <xdr:cNvSpPr txBox="1"/>
      </xdr:nvSpPr>
      <xdr:spPr>
        <a:xfrm>
          <a:off x="2865120" y="411480"/>
          <a:ext cx="184731"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900"/>
        </a:p>
      </xdr:txBody>
    </xdr:sp>
    <xdr:clientData/>
  </xdr:oneCellAnchor>
  <xdr:twoCellAnchor>
    <xdr:from>
      <xdr:col>7</xdr:col>
      <xdr:colOff>289560</xdr:colOff>
      <xdr:row>3</xdr:row>
      <xdr:rowOff>7620</xdr:rowOff>
    </xdr:from>
    <xdr:to>
      <xdr:col>18</xdr:col>
      <xdr:colOff>342900</xdr:colOff>
      <xdr:row>24</xdr:row>
      <xdr:rowOff>167640</xdr:rowOff>
    </xdr:to>
    <xdr:graphicFrame macro="">
      <xdr:nvGraphicFramePr>
        <xdr:cNvPr id="5" name="Chart 4">
          <a:extLst>
            <a:ext uri="{FF2B5EF4-FFF2-40B4-BE49-F238E27FC236}">
              <a16:creationId xmlns:a16="http://schemas.microsoft.com/office/drawing/2014/main" id="{0EF129B5-CF29-ED5C-81CB-2297F441B8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160020</xdr:colOff>
      <xdr:row>13</xdr:row>
      <xdr:rowOff>133350</xdr:rowOff>
    </xdr:from>
    <xdr:to>
      <xdr:col>12</xdr:col>
      <xdr:colOff>464820</xdr:colOff>
      <xdr:row>28</xdr:row>
      <xdr:rowOff>133350</xdr:rowOff>
    </xdr:to>
    <xdr:graphicFrame macro="">
      <xdr:nvGraphicFramePr>
        <xdr:cNvPr id="4" name="Chart 3">
          <a:extLst>
            <a:ext uri="{FF2B5EF4-FFF2-40B4-BE49-F238E27FC236}">
              <a16:creationId xmlns:a16="http://schemas.microsoft.com/office/drawing/2014/main" id="{85CEC7C9-212B-D533-B385-4FC7D8C9BD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el Negash" refreshedDate="46178.618298032408" createdVersion="8" refreshedVersion="8" minRefreshableVersion="3" recordCount="392" xr:uid="{BC94B412-F47B-4C63-91E1-5DB4240FE055}">
  <cacheSource type="worksheet">
    <worksheetSource name="state_quality_domain_summary"/>
  </cacheSource>
  <cacheFields count="8">
    <cacheField name="state" numFmtId="0">
      <sharedItems count="56">
        <s v="AK"/>
        <s v="AL"/>
        <s v="AR"/>
        <s v="AS"/>
        <s v="AZ"/>
        <s v="CA"/>
        <s v="CO"/>
        <s v="CT"/>
        <s v="DC"/>
        <s v="DE"/>
        <s v="FL"/>
        <s v="GA"/>
        <s v="GU"/>
        <s v="HI"/>
        <s v="IA"/>
        <s v="ID"/>
        <s v="IL"/>
        <s v="IN"/>
        <s v="KS"/>
        <s v="KY"/>
        <s v="LA"/>
        <s v="MA"/>
        <s v="MD"/>
        <s v="ME"/>
        <s v="MI"/>
        <s v="MN"/>
        <s v="MO"/>
        <s v="MP"/>
        <s v="MS"/>
        <s v="MT"/>
        <s v="NC"/>
        <s v="ND"/>
        <s v="NE"/>
        <s v="NH"/>
        <s v="NJ"/>
        <s v="NM"/>
        <s v="NV"/>
        <s v="NY"/>
        <s v="OH"/>
        <s v="OK"/>
        <s v="OR"/>
        <s v="PA"/>
        <s v="PR"/>
        <s v="RI"/>
        <s v="SC"/>
        <s v="SD"/>
        <s v="TN"/>
        <s v="TX"/>
        <s v="UT"/>
        <s v="VA"/>
        <s v="VI"/>
        <s v="VT"/>
        <s v="WA"/>
        <s v="WI"/>
        <s v="WV"/>
        <s v="WY"/>
      </sharedItems>
    </cacheField>
    <cacheField name="quality_domain" numFmtId="0">
      <sharedItems count="7">
        <s v="Effectiveness of Care"/>
        <s v="Efficient Use of Medical Imaging"/>
        <s v="Mortality"/>
        <s v="Patient Experience"/>
        <s v="Readmission"/>
        <s v="Safety of Care"/>
        <s v="Timeliness of Care"/>
      </sharedItems>
    </cacheField>
    <cacheField name="total_quality_domain_records" numFmtId="0">
      <sharedItems containsSemiMixedTypes="0" containsString="0" containsNumber="1" containsInteger="1" minValue="1" maxValue="411"/>
    </cacheField>
    <cacheField name="compared_records" numFmtId="0">
      <sharedItems containsSemiMixedTypes="0" containsString="0" containsNumber="1" containsInteger="1" minValue="0" maxValue="312" count="145">
        <n v="8"/>
        <n v="4"/>
        <n v="10"/>
        <n v="11"/>
        <n v="7"/>
        <n v="85"/>
        <n v="60"/>
        <n v="77"/>
        <n v="72"/>
        <n v="80"/>
        <n v="50"/>
        <n v="86"/>
        <n v="56"/>
        <n v="43"/>
        <n v="61"/>
        <n v="66"/>
        <n v="32"/>
        <n v="54"/>
        <n v="0"/>
        <n v="58"/>
        <n v="42"/>
        <n v="48"/>
        <n v="63"/>
        <n v="59"/>
        <n v="49"/>
        <n v="55"/>
        <n v="290"/>
        <n v="190"/>
        <n v="255"/>
        <n v="295"/>
        <n v="271"/>
        <n v="268"/>
        <n v="251"/>
        <n v="52"/>
        <n v="45"/>
        <n v="46"/>
        <n v="51"/>
        <n v="28"/>
        <n v="27"/>
        <n v="6"/>
        <n v="168"/>
        <n v="146"/>
        <n v="173"/>
        <n v="169"/>
        <n v="175"/>
        <n v="157"/>
        <n v="167"/>
        <n v="112"/>
        <n v="76"/>
        <n v="101"/>
        <n v="95"/>
        <n v="111"/>
        <n v="116"/>
        <n v="1"/>
        <n v="13"/>
        <n v="9"/>
        <n v="12"/>
        <n v="44"/>
        <n v="92"/>
        <n v="18"/>
        <n v="16"/>
        <n v="25"/>
        <n v="15"/>
        <n v="145"/>
        <n v="127"/>
        <n v="166"/>
        <n v="170"/>
        <n v="114"/>
        <n v="149"/>
        <n v="105"/>
        <n v="88"/>
        <n v="103"/>
        <n v="108"/>
        <n v="110"/>
        <n v="69"/>
        <n v="104"/>
        <n v="82"/>
        <n v="31"/>
        <n v="73"/>
        <n v="68"/>
        <n v="75"/>
        <n v="53"/>
        <n v="78"/>
        <n v="81"/>
        <n v="79"/>
        <n v="87"/>
        <n v="57"/>
        <n v="26"/>
        <n v="117"/>
        <n v="109"/>
        <n v="107"/>
        <n v="83"/>
        <n v="122"/>
        <n v="99"/>
        <n v="65"/>
        <n v="35"/>
        <n v="21"/>
        <n v="14"/>
        <n v="23"/>
        <n v="20"/>
        <n v="90"/>
        <n v="93"/>
        <n v="98"/>
        <n v="37"/>
        <n v="36"/>
        <n v="19"/>
        <n v="34"/>
        <n v="29"/>
        <n v="22"/>
        <n v="151"/>
        <n v="150"/>
        <n v="155"/>
        <n v="136"/>
        <n v="152"/>
        <n v="134"/>
        <n v="124"/>
        <n v="140"/>
        <n v="144"/>
        <n v="143"/>
        <n v="113"/>
        <n v="133"/>
        <n v="74"/>
        <n v="70"/>
        <n v="33"/>
        <n v="47"/>
        <n v="123"/>
        <n v="147"/>
        <n v="125"/>
        <n v="17"/>
        <n v="71"/>
        <n v="94"/>
        <n v="312"/>
        <n v="193"/>
        <n v="248"/>
        <n v="264"/>
        <n v="273"/>
        <n v="204"/>
        <n v="301"/>
        <n v="24"/>
        <n v="64"/>
        <n v="2"/>
        <n v="62"/>
        <n v="100"/>
        <n v="38"/>
        <n v="40"/>
      </sharedItems>
    </cacheField>
    <cacheField name="missing_records" numFmtId="0">
      <sharedItems containsSemiMixedTypes="0" containsString="0" containsNumber="1" containsInteger="1" minValue="0" maxValue="218"/>
    </cacheField>
    <cacheField name="missing_pct" numFmtId="0">
      <sharedItems containsSemiMixedTypes="0" containsString="0" containsNumber="1" minValue="0" maxValue="100"/>
    </cacheField>
    <cacheField name="below_average_records" numFmtId="0">
      <sharedItems containsSemiMixedTypes="0" containsString="0" containsNumber="1" containsInteger="1" minValue="0" maxValue="180"/>
    </cacheField>
    <cacheField name="below_average_pct" numFmtId="0">
      <sharedItems containsString="0" containsBlank="1" containsNumber="1" minValue="0" maxValue="100"/>
    </cacheField>
  </cacheFields>
  <extLst>
    <ext xmlns:x14="http://schemas.microsoft.com/office/spreadsheetml/2009/9/main" uri="{725AE2AE-9491-48be-B2B4-4EB974FC3084}">
      <x14:pivotCacheDefinition pivotCacheId="165515685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el Negash" refreshedDate="46178.679723148147" createdVersion="8" refreshedVersion="8" minRefreshableVersion="3" recordCount="70" xr:uid="{1FBD6314-69CB-4992-85A0-2695B64FB5B2}">
  <cacheSource type="worksheet">
    <worksheetSource name="ownership_quality_domain_summary"/>
  </cacheSource>
  <cacheFields count="8">
    <cacheField name="hospital_ownership" numFmtId="0">
      <sharedItems count="10">
        <s v="Government - Federal"/>
        <s v="Government - Hospital District or Authority"/>
        <s v="Government - Local"/>
        <s v="Government - State"/>
        <s v="Physician"/>
        <s v="Proprietary"/>
        <s v="Tribal"/>
        <s v="Voluntary non-profit - Church"/>
        <s v="Voluntary non-profit - Other"/>
        <s v="Voluntary non-profit - Private"/>
      </sharedItems>
    </cacheField>
    <cacheField name="quality_domain" numFmtId="0">
      <sharedItems count="7">
        <s v="Effectiveness of Care"/>
        <s v="Efficient Use of Medical Imaging"/>
        <s v="Mortality"/>
        <s v="Patient Experience"/>
        <s v="Readmission"/>
        <s v="Safety of Care"/>
        <s v="Timeliness of Care"/>
      </sharedItems>
    </cacheField>
    <cacheField name="total_quality_domain_records" numFmtId="0">
      <sharedItems containsSemiMixedTypes="0" containsString="0" containsNumber="1" containsInteger="1" minValue="9" maxValue="2052"/>
    </cacheField>
    <cacheField name="compared_records" numFmtId="0">
      <sharedItems containsSemiMixedTypes="0" containsString="0" containsNumber="1" containsInteger="1" minValue="0" maxValue="1688"/>
    </cacheField>
    <cacheField name="missing_records" numFmtId="0">
      <sharedItems containsSemiMixedTypes="0" containsString="0" containsNumber="1" containsInteger="1" minValue="5" maxValue="860"/>
    </cacheField>
    <cacheField name="missing_pct" numFmtId="0">
      <sharedItems containsSemiMixedTypes="0" containsString="0" containsNumber="1" minValue="6.71" maxValue="100"/>
    </cacheField>
    <cacheField name="below_average_records" numFmtId="0">
      <sharedItems containsSemiMixedTypes="0" containsString="0" containsNumber="1" containsInteger="1" minValue="0" maxValue="448"/>
    </cacheField>
    <cacheField name="below_average_pct" numFmtId="0">
      <sharedItems containsString="0" containsBlank="1" containsNumber="1" minValue="0" maxValue="60.4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2">
  <r>
    <x v="0"/>
    <x v="0"/>
    <n v="22"/>
    <x v="0"/>
    <n v="14"/>
    <n v="63.64"/>
    <n v="1"/>
    <n v="12.5"/>
  </r>
  <r>
    <x v="0"/>
    <x v="1"/>
    <n v="22"/>
    <x v="1"/>
    <n v="18"/>
    <n v="81.819999999999993"/>
    <n v="0"/>
    <n v="0"/>
  </r>
  <r>
    <x v="0"/>
    <x v="2"/>
    <n v="22"/>
    <x v="0"/>
    <n v="14"/>
    <n v="63.64"/>
    <n v="0"/>
    <n v="0"/>
  </r>
  <r>
    <x v="0"/>
    <x v="3"/>
    <n v="22"/>
    <x v="2"/>
    <n v="12"/>
    <n v="54.55"/>
    <n v="3"/>
    <n v="30"/>
  </r>
  <r>
    <x v="0"/>
    <x v="4"/>
    <n v="22"/>
    <x v="3"/>
    <n v="11"/>
    <n v="50"/>
    <n v="0"/>
    <n v="0"/>
  </r>
  <r>
    <x v="0"/>
    <x v="5"/>
    <n v="22"/>
    <x v="4"/>
    <n v="15"/>
    <n v="68.180000000000007"/>
    <n v="4"/>
    <n v="57.14"/>
  </r>
  <r>
    <x v="0"/>
    <x v="6"/>
    <n v="22"/>
    <x v="4"/>
    <n v="15"/>
    <n v="68.180000000000007"/>
    <n v="2"/>
    <n v="28.57"/>
  </r>
  <r>
    <x v="1"/>
    <x v="0"/>
    <n v="90"/>
    <x v="5"/>
    <n v="5"/>
    <n v="5.56"/>
    <n v="12"/>
    <n v="14.12"/>
  </r>
  <r>
    <x v="1"/>
    <x v="1"/>
    <n v="90"/>
    <x v="6"/>
    <n v="30"/>
    <n v="33.33"/>
    <n v="17"/>
    <n v="28.33"/>
  </r>
  <r>
    <x v="1"/>
    <x v="2"/>
    <n v="90"/>
    <x v="7"/>
    <n v="13"/>
    <n v="14.44"/>
    <n v="14"/>
    <n v="18.18"/>
  </r>
  <r>
    <x v="1"/>
    <x v="3"/>
    <n v="90"/>
    <x v="8"/>
    <n v="18"/>
    <n v="20"/>
    <n v="20"/>
    <n v="27.78"/>
  </r>
  <r>
    <x v="1"/>
    <x v="4"/>
    <n v="90"/>
    <x v="9"/>
    <n v="10"/>
    <n v="11.11"/>
    <n v="12"/>
    <n v="15"/>
  </r>
  <r>
    <x v="1"/>
    <x v="5"/>
    <n v="90"/>
    <x v="10"/>
    <n v="40"/>
    <n v="44.44"/>
    <n v="14"/>
    <n v="28"/>
  </r>
  <r>
    <x v="1"/>
    <x v="6"/>
    <n v="90"/>
    <x v="11"/>
    <n v="4"/>
    <n v="4.4400000000000004"/>
    <n v="13"/>
    <n v="15.12"/>
  </r>
  <r>
    <x v="2"/>
    <x v="0"/>
    <n v="75"/>
    <x v="12"/>
    <n v="19"/>
    <n v="25.33"/>
    <n v="5"/>
    <n v="8.93"/>
  </r>
  <r>
    <x v="2"/>
    <x v="1"/>
    <n v="75"/>
    <x v="13"/>
    <n v="32"/>
    <n v="42.67"/>
    <n v="12"/>
    <n v="27.91"/>
  </r>
  <r>
    <x v="2"/>
    <x v="2"/>
    <n v="75"/>
    <x v="14"/>
    <n v="14"/>
    <n v="18.670000000000002"/>
    <n v="18"/>
    <n v="29.51"/>
  </r>
  <r>
    <x v="2"/>
    <x v="3"/>
    <n v="75"/>
    <x v="10"/>
    <n v="25"/>
    <n v="33.33"/>
    <n v="12"/>
    <n v="24"/>
  </r>
  <r>
    <x v="2"/>
    <x v="4"/>
    <n v="75"/>
    <x v="15"/>
    <n v="9"/>
    <n v="12"/>
    <n v="21"/>
    <n v="31.82"/>
  </r>
  <r>
    <x v="2"/>
    <x v="5"/>
    <n v="75"/>
    <x v="16"/>
    <n v="43"/>
    <n v="57.33"/>
    <n v="4"/>
    <n v="12.5"/>
  </r>
  <r>
    <x v="2"/>
    <x v="6"/>
    <n v="75"/>
    <x v="17"/>
    <n v="21"/>
    <n v="28"/>
    <n v="1"/>
    <n v="1.85"/>
  </r>
  <r>
    <x v="3"/>
    <x v="0"/>
    <n v="1"/>
    <x v="18"/>
    <n v="1"/>
    <n v="100"/>
    <n v="0"/>
    <m/>
  </r>
  <r>
    <x v="3"/>
    <x v="1"/>
    <n v="1"/>
    <x v="18"/>
    <n v="1"/>
    <n v="100"/>
    <n v="0"/>
    <m/>
  </r>
  <r>
    <x v="3"/>
    <x v="2"/>
    <n v="1"/>
    <x v="18"/>
    <n v="1"/>
    <n v="100"/>
    <n v="0"/>
    <m/>
  </r>
  <r>
    <x v="3"/>
    <x v="3"/>
    <n v="1"/>
    <x v="18"/>
    <n v="1"/>
    <n v="100"/>
    <n v="0"/>
    <m/>
  </r>
  <r>
    <x v="3"/>
    <x v="4"/>
    <n v="1"/>
    <x v="18"/>
    <n v="1"/>
    <n v="100"/>
    <n v="0"/>
    <m/>
  </r>
  <r>
    <x v="3"/>
    <x v="5"/>
    <n v="1"/>
    <x v="18"/>
    <n v="1"/>
    <n v="100"/>
    <n v="0"/>
    <m/>
  </r>
  <r>
    <x v="3"/>
    <x v="6"/>
    <n v="1"/>
    <x v="18"/>
    <n v="1"/>
    <n v="100"/>
    <n v="0"/>
    <m/>
  </r>
  <r>
    <x v="4"/>
    <x v="0"/>
    <n v="80"/>
    <x v="19"/>
    <n v="22"/>
    <n v="27.5"/>
    <n v="7"/>
    <n v="12.07"/>
  </r>
  <r>
    <x v="4"/>
    <x v="1"/>
    <n v="80"/>
    <x v="20"/>
    <n v="38"/>
    <n v="47.5"/>
    <n v="7"/>
    <n v="16.670000000000002"/>
  </r>
  <r>
    <x v="4"/>
    <x v="2"/>
    <n v="80"/>
    <x v="21"/>
    <n v="32"/>
    <n v="40"/>
    <n v="3"/>
    <n v="6.25"/>
  </r>
  <r>
    <x v="4"/>
    <x v="3"/>
    <n v="80"/>
    <x v="22"/>
    <n v="17"/>
    <n v="21.25"/>
    <n v="32"/>
    <n v="50.79"/>
  </r>
  <r>
    <x v="4"/>
    <x v="4"/>
    <n v="80"/>
    <x v="23"/>
    <n v="21"/>
    <n v="26.25"/>
    <n v="8"/>
    <n v="13.56"/>
  </r>
  <r>
    <x v="4"/>
    <x v="5"/>
    <n v="80"/>
    <x v="24"/>
    <n v="31"/>
    <n v="38.75"/>
    <n v="16"/>
    <n v="32.65"/>
  </r>
  <r>
    <x v="4"/>
    <x v="6"/>
    <n v="80"/>
    <x v="25"/>
    <n v="25"/>
    <n v="31.25"/>
    <n v="18"/>
    <n v="32.729999999999997"/>
  </r>
  <r>
    <x v="5"/>
    <x v="0"/>
    <n v="343"/>
    <x v="26"/>
    <n v="53"/>
    <n v="15.45"/>
    <n v="25"/>
    <n v="8.6199999999999992"/>
  </r>
  <r>
    <x v="5"/>
    <x v="1"/>
    <n v="343"/>
    <x v="27"/>
    <n v="153"/>
    <n v="44.61"/>
    <n v="33"/>
    <n v="17.37"/>
  </r>
  <r>
    <x v="5"/>
    <x v="2"/>
    <n v="343"/>
    <x v="28"/>
    <n v="88"/>
    <n v="25.66"/>
    <n v="25"/>
    <n v="9.8000000000000007"/>
  </r>
  <r>
    <x v="5"/>
    <x v="3"/>
    <n v="343"/>
    <x v="29"/>
    <n v="48"/>
    <n v="13.99"/>
    <n v="180"/>
    <n v="61.02"/>
  </r>
  <r>
    <x v="5"/>
    <x v="4"/>
    <n v="343"/>
    <x v="30"/>
    <n v="72"/>
    <n v="20.99"/>
    <n v="68"/>
    <n v="25.09"/>
  </r>
  <r>
    <x v="5"/>
    <x v="5"/>
    <n v="343"/>
    <x v="31"/>
    <n v="75"/>
    <n v="21.87"/>
    <n v="53"/>
    <n v="19.78"/>
  </r>
  <r>
    <x v="5"/>
    <x v="6"/>
    <n v="343"/>
    <x v="32"/>
    <n v="92"/>
    <n v="26.82"/>
    <n v="156"/>
    <n v="62.15"/>
  </r>
  <r>
    <x v="6"/>
    <x v="0"/>
    <n v="78"/>
    <x v="33"/>
    <n v="26"/>
    <n v="33.33"/>
    <n v="0"/>
    <n v="0"/>
  </r>
  <r>
    <x v="6"/>
    <x v="1"/>
    <n v="78"/>
    <x v="34"/>
    <n v="33"/>
    <n v="42.31"/>
    <n v="3"/>
    <n v="6.67"/>
  </r>
  <r>
    <x v="6"/>
    <x v="2"/>
    <n v="78"/>
    <x v="35"/>
    <n v="32"/>
    <n v="41.03"/>
    <n v="2"/>
    <n v="4.3499999999999996"/>
  </r>
  <r>
    <x v="6"/>
    <x v="3"/>
    <n v="78"/>
    <x v="17"/>
    <n v="24"/>
    <n v="30.77"/>
    <n v="4"/>
    <n v="7.41"/>
  </r>
  <r>
    <x v="6"/>
    <x v="4"/>
    <n v="78"/>
    <x v="19"/>
    <n v="20"/>
    <n v="25.64"/>
    <n v="1"/>
    <n v="1.72"/>
  </r>
  <r>
    <x v="6"/>
    <x v="5"/>
    <n v="78"/>
    <x v="20"/>
    <n v="36"/>
    <n v="46.15"/>
    <n v="12"/>
    <n v="28.57"/>
  </r>
  <r>
    <x v="6"/>
    <x v="6"/>
    <n v="78"/>
    <x v="36"/>
    <n v="27"/>
    <n v="34.619999999999997"/>
    <n v="0"/>
    <n v="0"/>
  </r>
  <r>
    <x v="7"/>
    <x v="0"/>
    <n v="31"/>
    <x v="37"/>
    <n v="3"/>
    <n v="9.68"/>
    <n v="1"/>
    <n v="3.57"/>
  </r>
  <r>
    <x v="7"/>
    <x v="1"/>
    <n v="31"/>
    <x v="38"/>
    <n v="4"/>
    <n v="12.9"/>
    <n v="2"/>
    <n v="7.41"/>
  </r>
  <r>
    <x v="7"/>
    <x v="2"/>
    <n v="31"/>
    <x v="37"/>
    <n v="3"/>
    <n v="9.68"/>
    <n v="2"/>
    <n v="7.14"/>
  </r>
  <r>
    <x v="7"/>
    <x v="3"/>
    <n v="31"/>
    <x v="38"/>
    <n v="4"/>
    <n v="12.9"/>
    <n v="9"/>
    <n v="33.33"/>
  </r>
  <r>
    <x v="7"/>
    <x v="4"/>
    <n v="31"/>
    <x v="37"/>
    <n v="3"/>
    <n v="9.68"/>
    <n v="10"/>
    <n v="35.71"/>
  </r>
  <r>
    <x v="7"/>
    <x v="5"/>
    <n v="31"/>
    <x v="38"/>
    <n v="4"/>
    <n v="12.9"/>
    <n v="15"/>
    <n v="55.56"/>
  </r>
  <r>
    <x v="7"/>
    <x v="6"/>
    <n v="31"/>
    <x v="38"/>
    <n v="4"/>
    <n v="12.9"/>
    <n v="18"/>
    <n v="66.67"/>
  </r>
  <r>
    <x v="8"/>
    <x v="0"/>
    <n v="8"/>
    <x v="4"/>
    <n v="1"/>
    <n v="12.5"/>
    <n v="3"/>
    <n v="42.86"/>
  </r>
  <r>
    <x v="8"/>
    <x v="1"/>
    <n v="8"/>
    <x v="4"/>
    <n v="1"/>
    <n v="12.5"/>
    <n v="0"/>
    <n v="0"/>
  </r>
  <r>
    <x v="8"/>
    <x v="2"/>
    <n v="8"/>
    <x v="4"/>
    <n v="1"/>
    <n v="12.5"/>
    <n v="0"/>
    <n v="0"/>
  </r>
  <r>
    <x v="8"/>
    <x v="3"/>
    <n v="8"/>
    <x v="4"/>
    <n v="1"/>
    <n v="12.5"/>
    <n v="7"/>
    <n v="100"/>
  </r>
  <r>
    <x v="8"/>
    <x v="4"/>
    <n v="8"/>
    <x v="4"/>
    <n v="1"/>
    <n v="12.5"/>
    <n v="6"/>
    <n v="85.71"/>
  </r>
  <r>
    <x v="8"/>
    <x v="5"/>
    <n v="8"/>
    <x v="4"/>
    <n v="1"/>
    <n v="12.5"/>
    <n v="6"/>
    <n v="85.71"/>
  </r>
  <r>
    <x v="8"/>
    <x v="6"/>
    <n v="8"/>
    <x v="4"/>
    <n v="1"/>
    <n v="12.5"/>
    <n v="7"/>
    <n v="100"/>
  </r>
  <r>
    <x v="9"/>
    <x v="0"/>
    <n v="7"/>
    <x v="39"/>
    <n v="1"/>
    <n v="14.29"/>
    <n v="1"/>
    <n v="16.670000000000002"/>
  </r>
  <r>
    <x v="9"/>
    <x v="1"/>
    <n v="7"/>
    <x v="39"/>
    <n v="1"/>
    <n v="14.29"/>
    <n v="0"/>
    <n v="0"/>
  </r>
  <r>
    <x v="9"/>
    <x v="2"/>
    <n v="7"/>
    <x v="39"/>
    <n v="1"/>
    <n v="14.29"/>
    <n v="0"/>
    <n v="0"/>
  </r>
  <r>
    <x v="9"/>
    <x v="3"/>
    <n v="7"/>
    <x v="39"/>
    <n v="1"/>
    <n v="14.29"/>
    <n v="1"/>
    <n v="16.670000000000002"/>
  </r>
  <r>
    <x v="9"/>
    <x v="4"/>
    <n v="7"/>
    <x v="39"/>
    <n v="1"/>
    <n v="14.29"/>
    <n v="2"/>
    <n v="33.33"/>
  </r>
  <r>
    <x v="9"/>
    <x v="5"/>
    <n v="7"/>
    <x v="39"/>
    <n v="1"/>
    <n v="14.29"/>
    <n v="1"/>
    <n v="16.670000000000002"/>
  </r>
  <r>
    <x v="9"/>
    <x v="6"/>
    <n v="7"/>
    <x v="39"/>
    <n v="1"/>
    <n v="14.29"/>
    <n v="5"/>
    <n v="83.33"/>
  </r>
  <r>
    <x v="10"/>
    <x v="0"/>
    <n v="187"/>
    <x v="40"/>
    <n v="19"/>
    <n v="10.16"/>
    <n v="8"/>
    <n v="4.76"/>
  </r>
  <r>
    <x v="10"/>
    <x v="1"/>
    <n v="187"/>
    <x v="41"/>
    <n v="41"/>
    <n v="21.93"/>
    <n v="17"/>
    <n v="11.64"/>
  </r>
  <r>
    <x v="10"/>
    <x v="2"/>
    <n v="187"/>
    <x v="42"/>
    <n v="14"/>
    <n v="7.49"/>
    <n v="21"/>
    <n v="12.14"/>
  </r>
  <r>
    <x v="10"/>
    <x v="3"/>
    <n v="187"/>
    <x v="43"/>
    <n v="18"/>
    <n v="9.6300000000000008"/>
    <n v="104"/>
    <n v="61.54"/>
  </r>
  <r>
    <x v="10"/>
    <x v="4"/>
    <n v="187"/>
    <x v="44"/>
    <n v="12"/>
    <n v="6.42"/>
    <n v="91"/>
    <n v="52"/>
  </r>
  <r>
    <x v="10"/>
    <x v="5"/>
    <n v="187"/>
    <x v="45"/>
    <n v="30"/>
    <n v="16.04"/>
    <n v="34"/>
    <n v="21.66"/>
  </r>
  <r>
    <x v="10"/>
    <x v="6"/>
    <n v="187"/>
    <x v="46"/>
    <n v="20"/>
    <n v="10.7"/>
    <n v="64"/>
    <n v="38.32"/>
  </r>
  <r>
    <x v="11"/>
    <x v="0"/>
    <n v="133"/>
    <x v="47"/>
    <n v="21"/>
    <n v="15.79"/>
    <n v="6"/>
    <n v="5.36"/>
  </r>
  <r>
    <x v="11"/>
    <x v="1"/>
    <n v="133"/>
    <x v="48"/>
    <n v="57"/>
    <n v="42.86"/>
    <n v="11"/>
    <n v="14.47"/>
  </r>
  <r>
    <x v="11"/>
    <x v="2"/>
    <n v="133"/>
    <x v="49"/>
    <n v="32"/>
    <n v="24.06"/>
    <n v="9"/>
    <n v="8.91"/>
  </r>
  <r>
    <x v="11"/>
    <x v="3"/>
    <n v="133"/>
    <x v="50"/>
    <n v="38"/>
    <n v="28.57"/>
    <n v="35"/>
    <n v="36.840000000000003"/>
  </r>
  <r>
    <x v="11"/>
    <x v="4"/>
    <n v="133"/>
    <x v="51"/>
    <n v="22"/>
    <n v="16.54"/>
    <n v="23"/>
    <n v="20.72"/>
  </r>
  <r>
    <x v="11"/>
    <x v="5"/>
    <n v="133"/>
    <x v="7"/>
    <n v="56"/>
    <n v="42.11"/>
    <n v="25"/>
    <n v="32.47"/>
  </r>
  <r>
    <x v="11"/>
    <x v="6"/>
    <n v="133"/>
    <x v="52"/>
    <n v="17"/>
    <n v="12.78"/>
    <n v="33"/>
    <n v="28.45"/>
  </r>
  <r>
    <x v="12"/>
    <x v="0"/>
    <n v="2"/>
    <x v="53"/>
    <n v="1"/>
    <n v="50"/>
    <n v="0"/>
    <n v="0"/>
  </r>
  <r>
    <x v="12"/>
    <x v="1"/>
    <n v="2"/>
    <x v="18"/>
    <n v="2"/>
    <n v="100"/>
    <n v="0"/>
    <m/>
  </r>
  <r>
    <x v="12"/>
    <x v="2"/>
    <n v="2"/>
    <x v="53"/>
    <n v="1"/>
    <n v="50"/>
    <n v="1"/>
    <n v="100"/>
  </r>
  <r>
    <x v="12"/>
    <x v="3"/>
    <n v="2"/>
    <x v="18"/>
    <n v="2"/>
    <n v="100"/>
    <n v="0"/>
    <m/>
  </r>
  <r>
    <x v="12"/>
    <x v="4"/>
    <n v="2"/>
    <x v="53"/>
    <n v="1"/>
    <n v="50"/>
    <n v="0"/>
    <n v="0"/>
  </r>
  <r>
    <x v="12"/>
    <x v="5"/>
    <n v="2"/>
    <x v="18"/>
    <n v="2"/>
    <n v="100"/>
    <n v="0"/>
    <m/>
  </r>
  <r>
    <x v="12"/>
    <x v="6"/>
    <n v="2"/>
    <x v="18"/>
    <n v="2"/>
    <n v="100"/>
    <n v="0"/>
    <m/>
  </r>
  <r>
    <x v="13"/>
    <x v="0"/>
    <n v="23"/>
    <x v="54"/>
    <n v="10"/>
    <n v="43.48"/>
    <n v="0"/>
    <n v="0"/>
  </r>
  <r>
    <x v="13"/>
    <x v="1"/>
    <n v="23"/>
    <x v="55"/>
    <n v="14"/>
    <n v="60.87"/>
    <n v="1"/>
    <n v="11.11"/>
  </r>
  <r>
    <x v="13"/>
    <x v="2"/>
    <n v="23"/>
    <x v="56"/>
    <n v="11"/>
    <n v="47.83"/>
    <n v="0"/>
    <n v="0"/>
  </r>
  <r>
    <x v="13"/>
    <x v="3"/>
    <n v="23"/>
    <x v="54"/>
    <n v="10"/>
    <n v="43.48"/>
    <n v="3"/>
    <n v="23.08"/>
  </r>
  <r>
    <x v="13"/>
    <x v="4"/>
    <n v="23"/>
    <x v="54"/>
    <n v="10"/>
    <n v="43.48"/>
    <n v="0"/>
    <n v="0"/>
  </r>
  <r>
    <x v="13"/>
    <x v="5"/>
    <n v="23"/>
    <x v="3"/>
    <n v="12"/>
    <n v="52.17"/>
    <n v="1"/>
    <n v="9.09"/>
  </r>
  <r>
    <x v="13"/>
    <x v="6"/>
    <n v="23"/>
    <x v="54"/>
    <n v="10"/>
    <n v="43.48"/>
    <n v="4"/>
    <n v="30.77"/>
  </r>
  <r>
    <x v="14"/>
    <x v="0"/>
    <n v="116"/>
    <x v="15"/>
    <n v="50"/>
    <n v="43.1"/>
    <n v="1"/>
    <n v="1.52"/>
  </r>
  <r>
    <x v="14"/>
    <x v="1"/>
    <n v="116"/>
    <x v="57"/>
    <n v="72"/>
    <n v="62.07"/>
    <n v="9"/>
    <n v="20.45"/>
  </r>
  <r>
    <x v="14"/>
    <x v="2"/>
    <n v="116"/>
    <x v="7"/>
    <n v="39"/>
    <n v="33.619999999999997"/>
    <n v="6"/>
    <n v="7.79"/>
  </r>
  <r>
    <x v="14"/>
    <x v="3"/>
    <n v="116"/>
    <x v="23"/>
    <n v="57"/>
    <n v="49.14"/>
    <n v="5"/>
    <n v="8.4700000000000006"/>
  </r>
  <r>
    <x v="14"/>
    <x v="4"/>
    <n v="116"/>
    <x v="58"/>
    <n v="24"/>
    <n v="20.69"/>
    <n v="4"/>
    <n v="4.3499999999999996"/>
  </r>
  <r>
    <x v="14"/>
    <x v="5"/>
    <n v="116"/>
    <x v="16"/>
    <n v="84"/>
    <n v="72.41"/>
    <n v="6"/>
    <n v="18.75"/>
  </r>
  <r>
    <x v="14"/>
    <x v="6"/>
    <n v="116"/>
    <x v="15"/>
    <n v="50"/>
    <n v="43.1"/>
    <n v="1"/>
    <n v="1.52"/>
  </r>
  <r>
    <x v="15"/>
    <x v="0"/>
    <n v="41"/>
    <x v="59"/>
    <n v="23"/>
    <n v="56.1"/>
    <n v="0"/>
    <n v="0"/>
  </r>
  <r>
    <x v="15"/>
    <x v="1"/>
    <n v="41"/>
    <x v="60"/>
    <n v="25"/>
    <n v="60.98"/>
    <n v="0"/>
    <n v="0"/>
  </r>
  <r>
    <x v="15"/>
    <x v="2"/>
    <n v="41"/>
    <x v="59"/>
    <n v="23"/>
    <n v="56.1"/>
    <n v="2"/>
    <n v="11.11"/>
  </r>
  <r>
    <x v="15"/>
    <x v="3"/>
    <n v="41"/>
    <x v="61"/>
    <n v="16"/>
    <n v="39.020000000000003"/>
    <n v="3"/>
    <n v="12"/>
  </r>
  <r>
    <x v="15"/>
    <x v="4"/>
    <n v="41"/>
    <x v="38"/>
    <n v="14"/>
    <n v="34.15"/>
    <n v="0"/>
    <n v="0"/>
  </r>
  <r>
    <x v="15"/>
    <x v="5"/>
    <n v="41"/>
    <x v="2"/>
    <n v="31"/>
    <n v="75.61"/>
    <n v="1"/>
    <n v="10"/>
  </r>
  <r>
    <x v="15"/>
    <x v="6"/>
    <n v="41"/>
    <x v="62"/>
    <n v="26"/>
    <n v="63.41"/>
    <n v="0"/>
    <n v="0"/>
  </r>
  <r>
    <x v="16"/>
    <x v="0"/>
    <n v="180"/>
    <x v="63"/>
    <n v="35"/>
    <n v="19.440000000000001"/>
    <n v="9"/>
    <n v="6.21"/>
  </r>
  <r>
    <x v="16"/>
    <x v="1"/>
    <n v="180"/>
    <x v="64"/>
    <n v="53"/>
    <n v="29.44"/>
    <n v="12"/>
    <n v="9.4499999999999993"/>
  </r>
  <r>
    <x v="16"/>
    <x v="2"/>
    <n v="180"/>
    <x v="65"/>
    <n v="14"/>
    <n v="7.78"/>
    <n v="13"/>
    <n v="7.83"/>
  </r>
  <r>
    <x v="16"/>
    <x v="3"/>
    <n v="180"/>
    <x v="63"/>
    <n v="35"/>
    <n v="19.440000000000001"/>
    <n v="36"/>
    <n v="24.83"/>
  </r>
  <r>
    <x v="16"/>
    <x v="4"/>
    <n v="180"/>
    <x v="66"/>
    <n v="10"/>
    <n v="5.56"/>
    <n v="48"/>
    <n v="28.24"/>
  </r>
  <r>
    <x v="16"/>
    <x v="5"/>
    <n v="180"/>
    <x v="67"/>
    <n v="66"/>
    <n v="36.67"/>
    <n v="35"/>
    <n v="30.7"/>
  </r>
  <r>
    <x v="16"/>
    <x v="6"/>
    <n v="180"/>
    <x v="68"/>
    <n v="31"/>
    <n v="17.22"/>
    <n v="36"/>
    <n v="24.16"/>
  </r>
  <r>
    <x v="17"/>
    <x v="0"/>
    <n v="120"/>
    <x v="69"/>
    <n v="15"/>
    <n v="12.5"/>
    <n v="3"/>
    <n v="2.86"/>
  </r>
  <r>
    <x v="17"/>
    <x v="1"/>
    <n v="120"/>
    <x v="70"/>
    <n v="32"/>
    <n v="26.67"/>
    <n v="9"/>
    <n v="10.23"/>
  </r>
  <r>
    <x v="17"/>
    <x v="2"/>
    <n v="120"/>
    <x v="71"/>
    <n v="17"/>
    <n v="14.17"/>
    <n v="10"/>
    <n v="9.7100000000000009"/>
  </r>
  <r>
    <x v="17"/>
    <x v="3"/>
    <n v="120"/>
    <x v="72"/>
    <n v="12"/>
    <n v="10"/>
    <n v="11"/>
    <n v="10.19"/>
  </r>
  <r>
    <x v="17"/>
    <x v="4"/>
    <n v="120"/>
    <x v="73"/>
    <n v="10"/>
    <n v="8.33"/>
    <n v="12"/>
    <n v="10.91"/>
  </r>
  <r>
    <x v="17"/>
    <x v="5"/>
    <n v="120"/>
    <x v="74"/>
    <n v="51"/>
    <n v="42.5"/>
    <n v="8"/>
    <n v="11.59"/>
  </r>
  <r>
    <x v="17"/>
    <x v="6"/>
    <n v="120"/>
    <x v="75"/>
    <n v="16"/>
    <n v="13.33"/>
    <n v="8"/>
    <n v="7.69"/>
  </r>
  <r>
    <x v="18"/>
    <x v="0"/>
    <n v="137"/>
    <x v="19"/>
    <n v="79"/>
    <n v="57.66"/>
    <n v="3"/>
    <n v="5.17"/>
  </r>
  <r>
    <x v="18"/>
    <x v="1"/>
    <n v="137"/>
    <x v="21"/>
    <n v="89"/>
    <n v="64.959999999999994"/>
    <n v="11"/>
    <n v="22.92"/>
  </r>
  <r>
    <x v="18"/>
    <x v="2"/>
    <n v="137"/>
    <x v="15"/>
    <n v="71"/>
    <n v="51.82"/>
    <n v="4"/>
    <n v="6.06"/>
  </r>
  <r>
    <x v="18"/>
    <x v="3"/>
    <n v="137"/>
    <x v="6"/>
    <n v="77"/>
    <n v="56.2"/>
    <n v="5"/>
    <n v="8.33"/>
  </r>
  <r>
    <x v="18"/>
    <x v="4"/>
    <n v="137"/>
    <x v="76"/>
    <n v="55"/>
    <n v="40.15"/>
    <n v="6"/>
    <n v="7.32"/>
  </r>
  <r>
    <x v="18"/>
    <x v="5"/>
    <n v="137"/>
    <x v="77"/>
    <n v="106"/>
    <n v="77.37"/>
    <n v="7"/>
    <n v="22.58"/>
  </r>
  <r>
    <x v="18"/>
    <x v="6"/>
    <n v="137"/>
    <x v="22"/>
    <n v="74"/>
    <n v="54.01"/>
    <n v="1"/>
    <n v="1.59"/>
  </r>
  <r>
    <x v="19"/>
    <x v="0"/>
    <n v="94"/>
    <x v="78"/>
    <n v="21"/>
    <n v="22.34"/>
    <n v="10"/>
    <n v="13.7"/>
  </r>
  <r>
    <x v="19"/>
    <x v="1"/>
    <n v="94"/>
    <x v="79"/>
    <n v="26"/>
    <n v="27.66"/>
    <n v="13"/>
    <n v="19.12"/>
  </r>
  <r>
    <x v="19"/>
    <x v="2"/>
    <n v="94"/>
    <x v="5"/>
    <n v="9"/>
    <n v="9.57"/>
    <n v="7"/>
    <n v="8.24"/>
  </r>
  <r>
    <x v="19"/>
    <x v="3"/>
    <n v="94"/>
    <x v="80"/>
    <n v="19"/>
    <n v="20.21"/>
    <n v="12"/>
    <n v="16"/>
  </r>
  <r>
    <x v="19"/>
    <x v="4"/>
    <n v="94"/>
    <x v="58"/>
    <n v="2"/>
    <n v="2.13"/>
    <n v="30"/>
    <n v="32.61"/>
  </r>
  <r>
    <x v="19"/>
    <x v="5"/>
    <n v="94"/>
    <x v="81"/>
    <n v="41"/>
    <n v="43.62"/>
    <n v="10"/>
    <n v="18.87"/>
  </r>
  <r>
    <x v="19"/>
    <x v="6"/>
    <n v="94"/>
    <x v="82"/>
    <n v="16"/>
    <n v="17.02"/>
    <n v="12"/>
    <n v="15.38"/>
  </r>
  <r>
    <x v="20"/>
    <x v="0"/>
    <n v="121"/>
    <x v="83"/>
    <n v="40"/>
    <n v="33.06"/>
    <n v="6"/>
    <n v="7.41"/>
  </r>
  <r>
    <x v="20"/>
    <x v="1"/>
    <n v="121"/>
    <x v="17"/>
    <n v="67"/>
    <n v="55.37"/>
    <n v="34"/>
    <n v="62.96"/>
  </r>
  <r>
    <x v="20"/>
    <x v="2"/>
    <n v="121"/>
    <x v="9"/>
    <n v="41"/>
    <n v="33.880000000000003"/>
    <n v="4"/>
    <n v="5"/>
  </r>
  <r>
    <x v="20"/>
    <x v="3"/>
    <n v="121"/>
    <x v="84"/>
    <n v="42"/>
    <n v="34.71"/>
    <n v="7"/>
    <n v="8.86"/>
  </r>
  <r>
    <x v="20"/>
    <x v="4"/>
    <n v="121"/>
    <x v="85"/>
    <n v="34"/>
    <n v="28.1"/>
    <n v="15"/>
    <n v="17.239999999999998"/>
  </r>
  <r>
    <x v="20"/>
    <x v="5"/>
    <n v="121"/>
    <x v="17"/>
    <n v="67"/>
    <n v="55.37"/>
    <n v="17"/>
    <n v="31.48"/>
  </r>
  <r>
    <x v="20"/>
    <x v="6"/>
    <n v="121"/>
    <x v="84"/>
    <n v="42"/>
    <n v="34.71"/>
    <n v="12"/>
    <n v="15.19"/>
  </r>
  <r>
    <x v="21"/>
    <x v="0"/>
    <n v="64"/>
    <x v="19"/>
    <n v="6"/>
    <n v="9.3800000000000008"/>
    <n v="4"/>
    <n v="6.9"/>
  </r>
  <r>
    <x v="21"/>
    <x v="1"/>
    <n v="64"/>
    <x v="81"/>
    <n v="11"/>
    <n v="17.190000000000001"/>
    <n v="1"/>
    <n v="1.89"/>
  </r>
  <r>
    <x v="21"/>
    <x v="2"/>
    <n v="64"/>
    <x v="86"/>
    <n v="7"/>
    <n v="10.94"/>
    <n v="0"/>
    <n v="0"/>
  </r>
  <r>
    <x v="21"/>
    <x v="3"/>
    <n v="64"/>
    <x v="86"/>
    <n v="7"/>
    <n v="10.94"/>
    <n v="15"/>
    <n v="26.32"/>
  </r>
  <r>
    <x v="21"/>
    <x v="4"/>
    <n v="64"/>
    <x v="86"/>
    <n v="7"/>
    <n v="10.94"/>
    <n v="30"/>
    <n v="52.63"/>
  </r>
  <r>
    <x v="21"/>
    <x v="5"/>
    <n v="64"/>
    <x v="33"/>
    <n v="12"/>
    <n v="18.75"/>
    <n v="14"/>
    <n v="26.92"/>
  </r>
  <r>
    <x v="21"/>
    <x v="6"/>
    <n v="64"/>
    <x v="86"/>
    <n v="7"/>
    <n v="10.94"/>
    <n v="33"/>
    <n v="57.89"/>
  </r>
  <r>
    <x v="22"/>
    <x v="0"/>
    <n v="49"/>
    <x v="18"/>
    <n v="49"/>
    <n v="100"/>
    <n v="0"/>
    <m/>
  </r>
  <r>
    <x v="22"/>
    <x v="1"/>
    <n v="49"/>
    <x v="18"/>
    <n v="49"/>
    <n v="100"/>
    <n v="0"/>
    <m/>
  </r>
  <r>
    <x v="22"/>
    <x v="2"/>
    <n v="49"/>
    <x v="18"/>
    <n v="49"/>
    <n v="100"/>
    <n v="0"/>
    <m/>
  </r>
  <r>
    <x v="22"/>
    <x v="3"/>
    <n v="49"/>
    <x v="18"/>
    <n v="49"/>
    <n v="100"/>
    <n v="0"/>
    <m/>
  </r>
  <r>
    <x v="22"/>
    <x v="4"/>
    <n v="49"/>
    <x v="18"/>
    <n v="49"/>
    <n v="100"/>
    <n v="0"/>
    <m/>
  </r>
  <r>
    <x v="22"/>
    <x v="5"/>
    <n v="49"/>
    <x v="18"/>
    <n v="49"/>
    <n v="100"/>
    <n v="0"/>
    <m/>
  </r>
  <r>
    <x v="22"/>
    <x v="6"/>
    <n v="49"/>
    <x v="18"/>
    <n v="49"/>
    <n v="100"/>
    <n v="0"/>
    <m/>
  </r>
  <r>
    <x v="23"/>
    <x v="0"/>
    <n v="33"/>
    <x v="87"/>
    <n v="7"/>
    <n v="21.21"/>
    <n v="0"/>
    <n v="0"/>
  </r>
  <r>
    <x v="23"/>
    <x v="1"/>
    <n v="33"/>
    <x v="38"/>
    <n v="6"/>
    <n v="18.18"/>
    <n v="1"/>
    <n v="3.7"/>
  </r>
  <r>
    <x v="23"/>
    <x v="2"/>
    <n v="33"/>
    <x v="16"/>
    <n v="1"/>
    <n v="3.03"/>
    <n v="1"/>
    <n v="3.13"/>
  </r>
  <r>
    <x v="23"/>
    <x v="3"/>
    <n v="33"/>
    <x v="77"/>
    <n v="2"/>
    <n v="6.06"/>
    <n v="2"/>
    <n v="6.45"/>
  </r>
  <r>
    <x v="23"/>
    <x v="4"/>
    <n v="33"/>
    <x v="16"/>
    <n v="1"/>
    <n v="3.03"/>
    <n v="2"/>
    <n v="6.25"/>
  </r>
  <r>
    <x v="23"/>
    <x v="5"/>
    <n v="33"/>
    <x v="60"/>
    <n v="17"/>
    <n v="51.52"/>
    <n v="2"/>
    <n v="12.5"/>
  </r>
  <r>
    <x v="23"/>
    <x v="6"/>
    <n v="33"/>
    <x v="38"/>
    <n v="6"/>
    <n v="18.18"/>
    <n v="9"/>
    <n v="33.33"/>
  </r>
  <r>
    <x v="24"/>
    <x v="0"/>
    <n v="131"/>
    <x v="88"/>
    <n v="14"/>
    <n v="10.69"/>
    <n v="7"/>
    <n v="5.98"/>
  </r>
  <r>
    <x v="24"/>
    <x v="1"/>
    <n v="131"/>
    <x v="51"/>
    <n v="20"/>
    <n v="15.27"/>
    <n v="16"/>
    <n v="14.41"/>
  </r>
  <r>
    <x v="24"/>
    <x v="2"/>
    <n v="131"/>
    <x v="89"/>
    <n v="22"/>
    <n v="16.79"/>
    <n v="8"/>
    <n v="7.34"/>
  </r>
  <r>
    <x v="24"/>
    <x v="3"/>
    <n v="131"/>
    <x v="90"/>
    <n v="24"/>
    <n v="18.32"/>
    <n v="27"/>
    <n v="25.23"/>
  </r>
  <r>
    <x v="24"/>
    <x v="4"/>
    <n v="131"/>
    <x v="52"/>
    <n v="15"/>
    <n v="11.45"/>
    <n v="37"/>
    <n v="31.9"/>
  </r>
  <r>
    <x v="24"/>
    <x v="5"/>
    <n v="131"/>
    <x v="91"/>
    <n v="48"/>
    <n v="36.64"/>
    <n v="29"/>
    <n v="34.94"/>
  </r>
  <r>
    <x v="24"/>
    <x v="6"/>
    <n v="131"/>
    <x v="92"/>
    <n v="9"/>
    <n v="6.87"/>
    <n v="24"/>
    <n v="19.670000000000002"/>
  </r>
  <r>
    <x v="25"/>
    <x v="0"/>
    <n v="131"/>
    <x v="71"/>
    <n v="28"/>
    <n v="21.37"/>
    <n v="1"/>
    <n v="0.97"/>
  </r>
  <r>
    <x v="25"/>
    <x v="1"/>
    <n v="131"/>
    <x v="21"/>
    <n v="83"/>
    <n v="63.36"/>
    <n v="1"/>
    <n v="2.08"/>
  </r>
  <r>
    <x v="25"/>
    <x v="2"/>
    <n v="131"/>
    <x v="86"/>
    <n v="74"/>
    <n v="56.49"/>
    <n v="1"/>
    <n v="1.75"/>
  </r>
  <r>
    <x v="25"/>
    <x v="3"/>
    <n v="131"/>
    <x v="83"/>
    <n v="50"/>
    <n v="38.17"/>
    <n v="3"/>
    <n v="3.7"/>
  </r>
  <r>
    <x v="25"/>
    <x v="4"/>
    <n v="131"/>
    <x v="9"/>
    <n v="51"/>
    <n v="38.93"/>
    <n v="4"/>
    <n v="5"/>
  </r>
  <r>
    <x v="25"/>
    <x v="5"/>
    <n v="131"/>
    <x v="35"/>
    <n v="85"/>
    <n v="64.89"/>
    <n v="7"/>
    <n v="15.22"/>
  </r>
  <r>
    <x v="25"/>
    <x v="6"/>
    <n v="131"/>
    <x v="67"/>
    <n v="17"/>
    <n v="12.98"/>
    <n v="1"/>
    <n v="0.88"/>
  </r>
  <r>
    <x v="26"/>
    <x v="0"/>
    <n v="112"/>
    <x v="82"/>
    <n v="34"/>
    <n v="30.36"/>
    <n v="4"/>
    <n v="5.13"/>
  </r>
  <r>
    <x v="26"/>
    <x v="1"/>
    <n v="112"/>
    <x v="74"/>
    <n v="43"/>
    <n v="38.39"/>
    <n v="8"/>
    <n v="11.59"/>
  </r>
  <r>
    <x v="26"/>
    <x v="2"/>
    <n v="112"/>
    <x v="85"/>
    <n v="25"/>
    <n v="22.32"/>
    <n v="12"/>
    <n v="13.79"/>
  </r>
  <r>
    <x v="26"/>
    <x v="3"/>
    <n v="112"/>
    <x v="9"/>
    <n v="32"/>
    <n v="28.57"/>
    <n v="18"/>
    <n v="22.5"/>
  </r>
  <r>
    <x v="26"/>
    <x v="4"/>
    <n v="112"/>
    <x v="93"/>
    <n v="13"/>
    <n v="11.61"/>
    <n v="25"/>
    <n v="25.25"/>
  </r>
  <r>
    <x v="26"/>
    <x v="5"/>
    <n v="112"/>
    <x v="94"/>
    <n v="47"/>
    <n v="41.96"/>
    <n v="11"/>
    <n v="16.920000000000002"/>
  </r>
  <r>
    <x v="26"/>
    <x v="6"/>
    <n v="112"/>
    <x v="9"/>
    <n v="32"/>
    <n v="28.57"/>
    <n v="11"/>
    <n v="13.75"/>
  </r>
  <r>
    <x v="27"/>
    <x v="0"/>
    <n v="1"/>
    <x v="18"/>
    <n v="1"/>
    <n v="100"/>
    <n v="0"/>
    <m/>
  </r>
  <r>
    <x v="27"/>
    <x v="1"/>
    <n v="1"/>
    <x v="18"/>
    <n v="1"/>
    <n v="100"/>
    <n v="0"/>
    <m/>
  </r>
  <r>
    <x v="27"/>
    <x v="2"/>
    <n v="1"/>
    <x v="53"/>
    <n v="0"/>
    <n v="0"/>
    <n v="0"/>
    <n v="0"/>
  </r>
  <r>
    <x v="27"/>
    <x v="3"/>
    <n v="1"/>
    <x v="18"/>
    <n v="1"/>
    <n v="100"/>
    <n v="0"/>
    <m/>
  </r>
  <r>
    <x v="27"/>
    <x v="4"/>
    <n v="1"/>
    <x v="53"/>
    <n v="0"/>
    <n v="0"/>
    <n v="1"/>
    <n v="100"/>
  </r>
  <r>
    <x v="27"/>
    <x v="5"/>
    <n v="1"/>
    <x v="18"/>
    <n v="1"/>
    <n v="100"/>
    <n v="0"/>
    <m/>
  </r>
  <r>
    <x v="27"/>
    <x v="6"/>
    <n v="1"/>
    <x v="18"/>
    <n v="1"/>
    <n v="100"/>
    <n v="0"/>
    <m/>
  </r>
  <r>
    <x v="28"/>
    <x v="0"/>
    <n v="95"/>
    <x v="6"/>
    <n v="35"/>
    <n v="36.840000000000003"/>
    <n v="8"/>
    <n v="13.33"/>
  </r>
  <r>
    <x v="28"/>
    <x v="1"/>
    <n v="95"/>
    <x v="21"/>
    <n v="47"/>
    <n v="49.47"/>
    <n v="10"/>
    <n v="20.83"/>
  </r>
  <r>
    <x v="28"/>
    <x v="2"/>
    <n v="95"/>
    <x v="74"/>
    <n v="26"/>
    <n v="27.37"/>
    <n v="8"/>
    <n v="11.59"/>
  </r>
  <r>
    <x v="28"/>
    <x v="3"/>
    <n v="95"/>
    <x v="33"/>
    <n v="43"/>
    <n v="45.26"/>
    <n v="18"/>
    <n v="34.619999999999997"/>
  </r>
  <r>
    <x v="28"/>
    <x v="4"/>
    <n v="95"/>
    <x v="7"/>
    <n v="18"/>
    <n v="18.95"/>
    <n v="24"/>
    <n v="31.17"/>
  </r>
  <r>
    <x v="28"/>
    <x v="5"/>
    <n v="95"/>
    <x v="95"/>
    <n v="60"/>
    <n v="63.16"/>
    <n v="7"/>
    <n v="20"/>
  </r>
  <r>
    <x v="28"/>
    <x v="6"/>
    <n v="95"/>
    <x v="14"/>
    <n v="34"/>
    <n v="35.79"/>
    <n v="2"/>
    <n v="3.28"/>
  </r>
  <r>
    <x v="29"/>
    <x v="0"/>
    <n v="62"/>
    <x v="96"/>
    <n v="41"/>
    <n v="66.13"/>
    <n v="1"/>
    <n v="4.76"/>
  </r>
  <r>
    <x v="29"/>
    <x v="1"/>
    <n v="62"/>
    <x v="97"/>
    <n v="48"/>
    <n v="77.42"/>
    <n v="1"/>
    <n v="7.14"/>
  </r>
  <r>
    <x v="29"/>
    <x v="2"/>
    <n v="62"/>
    <x v="96"/>
    <n v="41"/>
    <n v="66.13"/>
    <n v="2"/>
    <n v="9.52"/>
  </r>
  <r>
    <x v="29"/>
    <x v="3"/>
    <n v="62"/>
    <x v="98"/>
    <n v="39"/>
    <n v="62.9"/>
    <n v="2"/>
    <n v="8.6999999999999993"/>
  </r>
  <r>
    <x v="29"/>
    <x v="4"/>
    <n v="62"/>
    <x v="38"/>
    <n v="35"/>
    <n v="56.45"/>
    <n v="0"/>
    <n v="0"/>
  </r>
  <r>
    <x v="29"/>
    <x v="5"/>
    <n v="62"/>
    <x v="2"/>
    <n v="52"/>
    <n v="83.87"/>
    <n v="3"/>
    <n v="30"/>
  </r>
  <r>
    <x v="29"/>
    <x v="6"/>
    <n v="62"/>
    <x v="99"/>
    <n v="42"/>
    <n v="67.739999999999995"/>
    <n v="2"/>
    <n v="10"/>
  </r>
  <r>
    <x v="30"/>
    <x v="0"/>
    <n v="107"/>
    <x v="100"/>
    <n v="17"/>
    <n v="15.89"/>
    <n v="2"/>
    <n v="2.2200000000000002"/>
  </r>
  <r>
    <x v="30"/>
    <x v="1"/>
    <n v="107"/>
    <x v="83"/>
    <n v="26"/>
    <n v="24.3"/>
    <n v="4"/>
    <n v="4.9400000000000004"/>
  </r>
  <r>
    <x v="30"/>
    <x v="2"/>
    <n v="107"/>
    <x v="50"/>
    <n v="12"/>
    <n v="11.21"/>
    <n v="21"/>
    <n v="22.11"/>
  </r>
  <r>
    <x v="30"/>
    <x v="3"/>
    <n v="107"/>
    <x v="101"/>
    <n v="14"/>
    <n v="13.08"/>
    <n v="21"/>
    <n v="22.58"/>
  </r>
  <r>
    <x v="30"/>
    <x v="4"/>
    <n v="107"/>
    <x v="102"/>
    <n v="9"/>
    <n v="8.41"/>
    <n v="19"/>
    <n v="19.39"/>
  </r>
  <r>
    <x v="30"/>
    <x v="5"/>
    <n v="107"/>
    <x v="80"/>
    <n v="32"/>
    <n v="29.91"/>
    <n v="16"/>
    <n v="21.33"/>
  </r>
  <r>
    <x v="30"/>
    <x v="6"/>
    <n v="107"/>
    <x v="101"/>
    <n v="14"/>
    <n v="13.08"/>
    <n v="25"/>
    <n v="26.88"/>
  </r>
  <r>
    <x v="31"/>
    <x v="0"/>
    <n v="44"/>
    <x v="96"/>
    <n v="23"/>
    <n v="52.27"/>
    <n v="0"/>
    <n v="0"/>
  </r>
  <r>
    <x v="31"/>
    <x v="1"/>
    <n v="44"/>
    <x v="54"/>
    <n v="31"/>
    <n v="70.45"/>
    <n v="1"/>
    <n v="7.69"/>
  </r>
  <r>
    <x v="31"/>
    <x v="2"/>
    <n v="44"/>
    <x v="62"/>
    <n v="29"/>
    <n v="65.91"/>
    <n v="2"/>
    <n v="13.33"/>
  </r>
  <r>
    <x v="31"/>
    <x v="3"/>
    <n v="44"/>
    <x v="2"/>
    <n v="34"/>
    <n v="77.27"/>
    <n v="3"/>
    <n v="30"/>
  </r>
  <r>
    <x v="31"/>
    <x v="4"/>
    <n v="44"/>
    <x v="98"/>
    <n v="21"/>
    <n v="47.73"/>
    <n v="0"/>
    <n v="0"/>
  </r>
  <r>
    <x v="31"/>
    <x v="5"/>
    <n v="44"/>
    <x v="39"/>
    <n v="38"/>
    <n v="86.36"/>
    <n v="2"/>
    <n v="33.33"/>
  </r>
  <r>
    <x v="31"/>
    <x v="6"/>
    <n v="44"/>
    <x v="60"/>
    <n v="28"/>
    <n v="63.64"/>
    <n v="0"/>
    <n v="0"/>
  </r>
  <r>
    <x v="32"/>
    <x v="0"/>
    <n v="89"/>
    <x v="25"/>
    <n v="34"/>
    <n v="38.200000000000003"/>
    <n v="1"/>
    <n v="1.82"/>
  </r>
  <r>
    <x v="32"/>
    <x v="1"/>
    <n v="89"/>
    <x v="103"/>
    <n v="52"/>
    <n v="58.43"/>
    <n v="2"/>
    <n v="5.41"/>
  </r>
  <r>
    <x v="32"/>
    <x v="2"/>
    <n v="89"/>
    <x v="103"/>
    <n v="52"/>
    <n v="58.43"/>
    <n v="3"/>
    <n v="8.11"/>
  </r>
  <r>
    <x v="32"/>
    <x v="3"/>
    <n v="89"/>
    <x v="104"/>
    <n v="53"/>
    <n v="59.55"/>
    <n v="1"/>
    <n v="2.78"/>
  </r>
  <r>
    <x v="32"/>
    <x v="4"/>
    <n v="89"/>
    <x v="17"/>
    <n v="35"/>
    <n v="39.33"/>
    <n v="2"/>
    <n v="3.7"/>
  </r>
  <r>
    <x v="32"/>
    <x v="5"/>
    <n v="89"/>
    <x v="105"/>
    <n v="70"/>
    <n v="78.650000000000006"/>
    <n v="7"/>
    <n v="36.840000000000003"/>
  </r>
  <r>
    <x v="32"/>
    <x v="6"/>
    <n v="89"/>
    <x v="24"/>
    <n v="40"/>
    <n v="44.94"/>
    <n v="1"/>
    <n v="2.04"/>
  </r>
  <r>
    <x v="33"/>
    <x v="0"/>
    <n v="26"/>
    <x v="105"/>
    <n v="7"/>
    <n v="26.92"/>
    <n v="0"/>
    <n v="0"/>
  </r>
  <r>
    <x v="33"/>
    <x v="1"/>
    <n v="26"/>
    <x v="99"/>
    <n v="6"/>
    <n v="23.08"/>
    <n v="0"/>
    <n v="0"/>
  </r>
  <r>
    <x v="33"/>
    <x v="2"/>
    <n v="26"/>
    <x v="87"/>
    <n v="0"/>
    <n v="0"/>
    <n v="0"/>
    <n v="0"/>
  </r>
  <r>
    <x v="33"/>
    <x v="3"/>
    <n v="26"/>
    <x v="96"/>
    <n v="5"/>
    <n v="19.23"/>
    <n v="0"/>
    <n v="0"/>
  </r>
  <r>
    <x v="33"/>
    <x v="4"/>
    <n v="26"/>
    <x v="87"/>
    <n v="0"/>
    <n v="0"/>
    <n v="3"/>
    <n v="11.54"/>
  </r>
  <r>
    <x v="33"/>
    <x v="5"/>
    <n v="26"/>
    <x v="54"/>
    <n v="13"/>
    <n v="50"/>
    <n v="3"/>
    <n v="23.08"/>
  </r>
  <r>
    <x v="33"/>
    <x v="6"/>
    <n v="26"/>
    <x v="105"/>
    <n v="7"/>
    <n v="26.92"/>
    <n v="7"/>
    <n v="36.840000000000003"/>
  </r>
  <r>
    <x v="34"/>
    <x v="0"/>
    <n v="66"/>
    <x v="22"/>
    <n v="3"/>
    <n v="4.55"/>
    <n v="12"/>
    <n v="19.05"/>
  </r>
  <r>
    <x v="34"/>
    <x v="1"/>
    <n v="66"/>
    <x v="23"/>
    <n v="7"/>
    <n v="10.61"/>
    <n v="4"/>
    <n v="6.78"/>
  </r>
  <r>
    <x v="34"/>
    <x v="2"/>
    <n v="66"/>
    <x v="22"/>
    <n v="3"/>
    <n v="4.55"/>
    <n v="2"/>
    <n v="3.17"/>
  </r>
  <r>
    <x v="34"/>
    <x v="3"/>
    <n v="66"/>
    <x v="22"/>
    <n v="3"/>
    <n v="4.55"/>
    <n v="41"/>
    <n v="65.08"/>
  </r>
  <r>
    <x v="34"/>
    <x v="4"/>
    <n v="66"/>
    <x v="22"/>
    <n v="3"/>
    <n v="4.55"/>
    <n v="39"/>
    <n v="61.9"/>
  </r>
  <r>
    <x v="34"/>
    <x v="5"/>
    <n v="66"/>
    <x v="22"/>
    <n v="3"/>
    <n v="4.55"/>
    <n v="27"/>
    <n v="42.86"/>
  </r>
  <r>
    <x v="34"/>
    <x v="6"/>
    <n v="66"/>
    <x v="22"/>
    <n v="3"/>
    <n v="4.55"/>
    <n v="51"/>
    <n v="80.95"/>
  </r>
  <r>
    <x v="35"/>
    <x v="0"/>
    <n v="41"/>
    <x v="77"/>
    <n v="10"/>
    <n v="24.39"/>
    <n v="0"/>
    <n v="0"/>
  </r>
  <r>
    <x v="35"/>
    <x v="1"/>
    <n v="41"/>
    <x v="99"/>
    <n v="21"/>
    <n v="51.22"/>
    <n v="3"/>
    <n v="15"/>
  </r>
  <r>
    <x v="35"/>
    <x v="2"/>
    <n v="41"/>
    <x v="37"/>
    <n v="13"/>
    <n v="31.71"/>
    <n v="1"/>
    <n v="3.57"/>
  </r>
  <r>
    <x v="35"/>
    <x v="3"/>
    <n v="41"/>
    <x v="37"/>
    <n v="13"/>
    <n v="31.71"/>
    <n v="16"/>
    <n v="57.14"/>
  </r>
  <r>
    <x v="35"/>
    <x v="4"/>
    <n v="41"/>
    <x v="106"/>
    <n v="7"/>
    <n v="17.07"/>
    <n v="4"/>
    <n v="11.76"/>
  </r>
  <r>
    <x v="35"/>
    <x v="5"/>
    <n v="41"/>
    <x v="59"/>
    <n v="23"/>
    <n v="56.1"/>
    <n v="6"/>
    <n v="33.33"/>
  </r>
  <r>
    <x v="35"/>
    <x v="6"/>
    <n v="41"/>
    <x v="107"/>
    <n v="12"/>
    <n v="29.27"/>
    <n v="11"/>
    <n v="37.93"/>
  </r>
  <r>
    <x v="36"/>
    <x v="0"/>
    <n v="35"/>
    <x v="108"/>
    <n v="13"/>
    <n v="37.14"/>
    <n v="3"/>
    <n v="13.64"/>
  </r>
  <r>
    <x v="36"/>
    <x v="1"/>
    <n v="35"/>
    <x v="96"/>
    <n v="14"/>
    <n v="40"/>
    <n v="0"/>
    <n v="0"/>
  </r>
  <r>
    <x v="36"/>
    <x v="2"/>
    <n v="35"/>
    <x v="61"/>
    <n v="10"/>
    <n v="28.57"/>
    <n v="6"/>
    <n v="24"/>
  </r>
  <r>
    <x v="36"/>
    <x v="3"/>
    <n v="35"/>
    <x v="108"/>
    <n v="13"/>
    <n v="37.14"/>
    <n v="18"/>
    <n v="81.819999999999993"/>
  </r>
  <r>
    <x v="36"/>
    <x v="4"/>
    <n v="35"/>
    <x v="38"/>
    <n v="8"/>
    <n v="22.86"/>
    <n v="9"/>
    <n v="33.33"/>
  </r>
  <r>
    <x v="36"/>
    <x v="5"/>
    <n v="35"/>
    <x v="105"/>
    <n v="16"/>
    <n v="45.71"/>
    <n v="9"/>
    <n v="47.37"/>
  </r>
  <r>
    <x v="36"/>
    <x v="6"/>
    <n v="35"/>
    <x v="98"/>
    <n v="12"/>
    <n v="34.29"/>
    <n v="13"/>
    <n v="56.52"/>
  </r>
  <r>
    <x v="37"/>
    <x v="0"/>
    <n v="171"/>
    <x v="68"/>
    <n v="22"/>
    <n v="12.87"/>
    <n v="21"/>
    <n v="14.09"/>
  </r>
  <r>
    <x v="37"/>
    <x v="1"/>
    <n v="171"/>
    <x v="88"/>
    <n v="54"/>
    <n v="31.58"/>
    <n v="7"/>
    <n v="5.98"/>
  </r>
  <r>
    <x v="37"/>
    <x v="2"/>
    <n v="171"/>
    <x v="109"/>
    <n v="20"/>
    <n v="11.7"/>
    <n v="14"/>
    <n v="9.27"/>
  </r>
  <r>
    <x v="37"/>
    <x v="3"/>
    <n v="171"/>
    <x v="110"/>
    <n v="21"/>
    <n v="12.28"/>
    <n v="100"/>
    <n v="66.67"/>
  </r>
  <r>
    <x v="37"/>
    <x v="4"/>
    <n v="171"/>
    <x v="111"/>
    <n v="16"/>
    <n v="9.36"/>
    <n v="87"/>
    <n v="56.13"/>
  </r>
  <r>
    <x v="37"/>
    <x v="5"/>
    <n v="171"/>
    <x v="112"/>
    <n v="35"/>
    <n v="20.47"/>
    <n v="54"/>
    <n v="39.71"/>
  </r>
  <r>
    <x v="37"/>
    <x v="6"/>
    <n v="171"/>
    <x v="113"/>
    <n v="19"/>
    <n v="11.11"/>
    <n v="106"/>
    <n v="69.739999999999995"/>
  </r>
  <r>
    <x v="38"/>
    <x v="0"/>
    <n v="168"/>
    <x v="114"/>
    <n v="34"/>
    <n v="20.239999999999998"/>
    <n v="5"/>
    <n v="3.73"/>
  </r>
  <r>
    <x v="38"/>
    <x v="1"/>
    <n v="168"/>
    <x v="115"/>
    <n v="44"/>
    <n v="26.19"/>
    <n v="5"/>
    <n v="4.03"/>
  </r>
  <r>
    <x v="38"/>
    <x v="2"/>
    <n v="168"/>
    <x v="116"/>
    <n v="28"/>
    <n v="16.670000000000002"/>
    <n v="5"/>
    <n v="3.57"/>
  </r>
  <r>
    <x v="38"/>
    <x v="3"/>
    <n v="168"/>
    <x v="117"/>
    <n v="24"/>
    <n v="14.29"/>
    <n v="33"/>
    <n v="22.92"/>
  </r>
  <r>
    <x v="38"/>
    <x v="4"/>
    <n v="168"/>
    <x v="118"/>
    <n v="25"/>
    <n v="14.88"/>
    <n v="24"/>
    <n v="16.78"/>
  </r>
  <r>
    <x v="38"/>
    <x v="5"/>
    <n v="168"/>
    <x v="119"/>
    <n v="55"/>
    <n v="32.74"/>
    <n v="28"/>
    <n v="24.78"/>
  </r>
  <r>
    <x v="38"/>
    <x v="6"/>
    <n v="168"/>
    <x v="120"/>
    <n v="35"/>
    <n v="20.83"/>
    <n v="17"/>
    <n v="12.78"/>
  </r>
  <r>
    <x v="39"/>
    <x v="0"/>
    <n v="124"/>
    <x v="100"/>
    <n v="34"/>
    <n v="27.42"/>
    <n v="9"/>
    <n v="10"/>
  </r>
  <r>
    <x v="39"/>
    <x v="1"/>
    <n v="124"/>
    <x v="86"/>
    <n v="67"/>
    <n v="54.03"/>
    <n v="23"/>
    <n v="40.35"/>
  </r>
  <r>
    <x v="39"/>
    <x v="2"/>
    <n v="124"/>
    <x v="121"/>
    <n v="50"/>
    <n v="40.32"/>
    <n v="8"/>
    <n v="10.81"/>
  </r>
  <r>
    <x v="39"/>
    <x v="3"/>
    <n v="124"/>
    <x v="122"/>
    <n v="54"/>
    <n v="43.55"/>
    <n v="17"/>
    <n v="24.29"/>
  </r>
  <r>
    <x v="39"/>
    <x v="4"/>
    <n v="124"/>
    <x v="5"/>
    <n v="39"/>
    <n v="31.45"/>
    <n v="9"/>
    <n v="10.59"/>
  </r>
  <r>
    <x v="39"/>
    <x v="5"/>
    <n v="124"/>
    <x v="21"/>
    <n v="76"/>
    <n v="61.29"/>
    <n v="9"/>
    <n v="18.75"/>
  </r>
  <r>
    <x v="39"/>
    <x v="6"/>
    <n v="124"/>
    <x v="9"/>
    <n v="44"/>
    <n v="35.479999999999997"/>
    <n v="3"/>
    <n v="3.75"/>
  </r>
  <r>
    <x v="40"/>
    <x v="0"/>
    <n v="60"/>
    <x v="10"/>
    <n v="10"/>
    <n v="16.670000000000002"/>
    <n v="5"/>
    <n v="10"/>
  </r>
  <r>
    <x v="40"/>
    <x v="1"/>
    <n v="60"/>
    <x v="123"/>
    <n v="27"/>
    <n v="45"/>
    <n v="1"/>
    <n v="3.03"/>
  </r>
  <r>
    <x v="40"/>
    <x v="2"/>
    <n v="60"/>
    <x v="35"/>
    <n v="14"/>
    <n v="23.33"/>
    <n v="8"/>
    <n v="17.39"/>
  </r>
  <r>
    <x v="40"/>
    <x v="3"/>
    <n v="60"/>
    <x v="10"/>
    <n v="10"/>
    <n v="16.670000000000002"/>
    <n v="5"/>
    <n v="10"/>
  </r>
  <r>
    <x v="40"/>
    <x v="4"/>
    <n v="60"/>
    <x v="81"/>
    <n v="7"/>
    <n v="11.67"/>
    <n v="2"/>
    <n v="3.77"/>
  </r>
  <r>
    <x v="40"/>
    <x v="5"/>
    <n v="60"/>
    <x v="16"/>
    <n v="28"/>
    <n v="46.67"/>
    <n v="7"/>
    <n v="21.88"/>
  </r>
  <r>
    <x v="40"/>
    <x v="6"/>
    <n v="60"/>
    <x v="124"/>
    <n v="13"/>
    <n v="21.67"/>
    <n v="4"/>
    <n v="8.51"/>
  </r>
  <r>
    <x v="41"/>
    <x v="0"/>
    <n v="171"/>
    <x v="68"/>
    <n v="22"/>
    <n v="12.87"/>
    <n v="6"/>
    <n v="4.03"/>
  </r>
  <r>
    <x v="41"/>
    <x v="1"/>
    <n v="171"/>
    <x v="125"/>
    <n v="48"/>
    <n v="28.07"/>
    <n v="20"/>
    <n v="16.260000000000002"/>
  </r>
  <r>
    <x v="41"/>
    <x v="2"/>
    <n v="171"/>
    <x v="63"/>
    <n v="26"/>
    <n v="15.2"/>
    <n v="11"/>
    <n v="7.59"/>
  </r>
  <r>
    <x v="41"/>
    <x v="3"/>
    <n v="171"/>
    <x v="111"/>
    <n v="16"/>
    <n v="9.36"/>
    <n v="55"/>
    <n v="35.479999999999997"/>
  </r>
  <r>
    <x v="41"/>
    <x v="4"/>
    <n v="171"/>
    <x v="126"/>
    <n v="24"/>
    <n v="14.04"/>
    <n v="46"/>
    <n v="31.29"/>
  </r>
  <r>
    <x v="41"/>
    <x v="5"/>
    <n v="171"/>
    <x v="127"/>
    <n v="46"/>
    <n v="26.9"/>
    <n v="37"/>
    <n v="29.6"/>
  </r>
  <r>
    <x v="41"/>
    <x v="6"/>
    <n v="171"/>
    <x v="68"/>
    <n v="22"/>
    <n v="12.87"/>
    <n v="45"/>
    <n v="30.2"/>
  </r>
  <r>
    <x v="42"/>
    <x v="0"/>
    <n v="52"/>
    <x v="2"/>
    <n v="42"/>
    <n v="80.77"/>
    <n v="8"/>
    <n v="80"/>
  </r>
  <r>
    <x v="42"/>
    <x v="1"/>
    <n v="52"/>
    <x v="18"/>
    <n v="52"/>
    <n v="100"/>
    <n v="0"/>
    <m/>
  </r>
  <r>
    <x v="42"/>
    <x v="2"/>
    <n v="52"/>
    <x v="59"/>
    <n v="34"/>
    <n v="65.38"/>
    <n v="1"/>
    <n v="5.56"/>
  </r>
  <r>
    <x v="42"/>
    <x v="3"/>
    <n v="52"/>
    <x v="18"/>
    <n v="52"/>
    <n v="100"/>
    <n v="0"/>
    <m/>
  </r>
  <r>
    <x v="42"/>
    <x v="4"/>
    <n v="52"/>
    <x v="61"/>
    <n v="27"/>
    <n v="51.92"/>
    <n v="7"/>
    <n v="28"/>
  </r>
  <r>
    <x v="42"/>
    <x v="5"/>
    <n v="52"/>
    <x v="39"/>
    <n v="46"/>
    <n v="88.46"/>
    <n v="0"/>
    <n v="0"/>
  </r>
  <r>
    <x v="42"/>
    <x v="6"/>
    <n v="52"/>
    <x v="18"/>
    <n v="52"/>
    <n v="100"/>
    <n v="0"/>
    <m/>
  </r>
  <r>
    <x v="43"/>
    <x v="0"/>
    <n v="11"/>
    <x v="3"/>
    <n v="0"/>
    <n v="0"/>
    <n v="0"/>
    <n v="0"/>
  </r>
  <r>
    <x v="43"/>
    <x v="1"/>
    <n v="11"/>
    <x v="55"/>
    <n v="2"/>
    <n v="18.18"/>
    <n v="0"/>
    <n v="0"/>
  </r>
  <r>
    <x v="43"/>
    <x v="2"/>
    <n v="11"/>
    <x v="2"/>
    <n v="1"/>
    <n v="9.09"/>
    <n v="0"/>
    <n v="0"/>
  </r>
  <r>
    <x v="43"/>
    <x v="3"/>
    <n v="11"/>
    <x v="3"/>
    <n v="0"/>
    <n v="0"/>
    <n v="5"/>
    <n v="45.45"/>
  </r>
  <r>
    <x v="43"/>
    <x v="4"/>
    <n v="11"/>
    <x v="2"/>
    <n v="1"/>
    <n v="9.09"/>
    <n v="5"/>
    <n v="50"/>
  </r>
  <r>
    <x v="43"/>
    <x v="5"/>
    <n v="11"/>
    <x v="3"/>
    <n v="0"/>
    <n v="0"/>
    <n v="2"/>
    <n v="18.18"/>
  </r>
  <r>
    <x v="43"/>
    <x v="6"/>
    <n v="11"/>
    <x v="3"/>
    <n v="0"/>
    <n v="0"/>
    <n v="6"/>
    <n v="54.55"/>
  </r>
  <r>
    <x v="44"/>
    <x v="0"/>
    <n v="60"/>
    <x v="33"/>
    <n v="8"/>
    <n v="13.33"/>
    <n v="3"/>
    <n v="5.77"/>
  </r>
  <r>
    <x v="44"/>
    <x v="1"/>
    <n v="60"/>
    <x v="124"/>
    <n v="13"/>
    <n v="21.67"/>
    <n v="3"/>
    <n v="6.38"/>
  </r>
  <r>
    <x v="44"/>
    <x v="2"/>
    <n v="60"/>
    <x v="36"/>
    <n v="9"/>
    <n v="15"/>
    <n v="8"/>
    <n v="15.69"/>
  </r>
  <r>
    <x v="44"/>
    <x v="3"/>
    <n v="60"/>
    <x v="36"/>
    <n v="9"/>
    <n v="15"/>
    <n v="11"/>
    <n v="21.57"/>
  </r>
  <r>
    <x v="44"/>
    <x v="4"/>
    <n v="60"/>
    <x v="33"/>
    <n v="8"/>
    <n v="13.33"/>
    <n v="12"/>
    <n v="23.08"/>
  </r>
  <r>
    <x v="44"/>
    <x v="5"/>
    <n v="60"/>
    <x v="57"/>
    <n v="16"/>
    <n v="26.67"/>
    <n v="10"/>
    <n v="22.73"/>
  </r>
  <r>
    <x v="44"/>
    <x v="6"/>
    <n v="60"/>
    <x v="36"/>
    <n v="9"/>
    <n v="15"/>
    <n v="15"/>
    <n v="29.41"/>
  </r>
  <r>
    <x v="45"/>
    <x v="0"/>
    <n v="60"/>
    <x v="105"/>
    <n v="41"/>
    <n v="68.33"/>
    <n v="1"/>
    <n v="5.26"/>
  </r>
  <r>
    <x v="45"/>
    <x v="1"/>
    <n v="60"/>
    <x v="56"/>
    <n v="48"/>
    <n v="80"/>
    <n v="0"/>
    <n v="0"/>
  </r>
  <r>
    <x v="45"/>
    <x v="2"/>
    <n v="60"/>
    <x v="60"/>
    <n v="44"/>
    <n v="73.33"/>
    <n v="0"/>
    <n v="0"/>
  </r>
  <r>
    <x v="45"/>
    <x v="3"/>
    <n v="60"/>
    <x v="128"/>
    <n v="43"/>
    <n v="71.67"/>
    <n v="1"/>
    <n v="5.88"/>
  </r>
  <r>
    <x v="45"/>
    <x v="4"/>
    <n v="60"/>
    <x v="87"/>
    <n v="34"/>
    <n v="56.67"/>
    <n v="0"/>
    <n v="0"/>
  </r>
  <r>
    <x v="45"/>
    <x v="5"/>
    <n v="60"/>
    <x v="2"/>
    <n v="50"/>
    <n v="83.33"/>
    <n v="3"/>
    <n v="30"/>
  </r>
  <r>
    <x v="45"/>
    <x v="6"/>
    <n v="60"/>
    <x v="62"/>
    <n v="45"/>
    <n v="75"/>
    <n v="0"/>
    <n v="0"/>
  </r>
  <r>
    <x v="46"/>
    <x v="0"/>
    <n v="107"/>
    <x v="50"/>
    <n v="12"/>
    <n v="11.21"/>
    <n v="3"/>
    <n v="3.16"/>
  </r>
  <r>
    <x v="46"/>
    <x v="1"/>
    <n v="107"/>
    <x v="129"/>
    <n v="36"/>
    <n v="33.64"/>
    <n v="2"/>
    <n v="2.82"/>
  </r>
  <r>
    <x v="46"/>
    <x v="2"/>
    <n v="107"/>
    <x v="101"/>
    <n v="14"/>
    <n v="13.08"/>
    <n v="18"/>
    <n v="19.350000000000001"/>
  </r>
  <r>
    <x v="46"/>
    <x v="3"/>
    <n v="107"/>
    <x v="91"/>
    <n v="24"/>
    <n v="22.43"/>
    <n v="29"/>
    <n v="34.94"/>
  </r>
  <r>
    <x v="46"/>
    <x v="4"/>
    <n v="107"/>
    <x v="130"/>
    <n v="13"/>
    <n v="12.15"/>
    <n v="28"/>
    <n v="29.79"/>
  </r>
  <r>
    <x v="46"/>
    <x v="5"/>
    <n v="107"/>
    <x v="79"/>
    <n v="39"/>
    <n v="36.450000000000003"/>
    <n v="12"/>
    <n v="17.649999999999999"/>
  </r>
  <r>
    <x v="46"/>
    <x v="6"/>
    <n v="107"/>
    <x v="102"/>
    <n v="9"/>
    <n v="8.41"/>
    <n v="15"/>
    <n v="15.31"/>
  </r>
  <r>
    <x v="47"/>
    <x v="0"/>
    <n v="411"/>
    <x v="131"/>
    <n v="99"/>
    <n v="24.09"/>
    <n v="23"/>
    <n v="7.37"/>
  </r>
  <r>
    <x v="47"/>
    <x v="1"/>
    <n v="411"/>
    <x v="132"/>
    <n v="218"/>
    <n v="53.04"/>
    <n v="46"/>
    <n v="23.83"/>
  </r>
  <r>
    <x v="47"/>
    <x v="2"/>
    <n v="411"/>
    <x v="133"/>
    <n v="163"/>
    <n v="39.659999999999997"/>
    <n v="22"/>
    <n v="8.8699999999999992"/>
  </r>
  <r>
    <x v="47"/>
    <x v="3"/>
    <n v="411"/>
    <x v="134"/>
    <n v="147"/>
    <n v="35.770000000000003"/>
    <n v="76"/>
    <n v="28.79"/>
  </r>
  <r>
    <x v="47"/>
    <x v="4"/>
    <n v="411"/>
    <x v="135"/>
    <n v="138"/>
    <n v="33.58"/>
    <n v="37"/>
    <n v="13.55"/>
  </r>
  <r>
    <x v="47"/>
    <x v="5"/>
    <n v="411"/>
    <x v="136"/>
    <n v="207"/>
    <n v="50.36"/>
    <n v="36"/>
    <n v="17.649999999999999"/>
  </r>
  <r>
    <x v="47"/>
    <x v="6"/>
    <n v="411"/>
    <x v="137"/>
    <n v="110"/>
    <n v="26.76"/>
    <n v="62"/>
    <n v="20.6"/>
  </r>
  <r>
    <x v="48"/>
    <x v="0"/>
    <n v="46"/>
    <x v="103"/>
    <n v="9"/>
    <n v="19.57"/>
    <n v="2"/>
    <n v="5.41"/>
  </r>
  <r>
    <x v="48"/>
    <x v="1"/>
    <n v="46"/>
    <x v="138"/>
    <n v="22"/>
    <n v="47.83"/>
    <n v="1"/>
    <n v="4.17"/>
  </r>
  <r>
    <x v="48"/>
    <x v="2"/>
    <n v="46"/>
    <x v="96"/>
    <n v="25"/>
    <n v="54.35"/>
    <n v="2"/>
    <n v="9.52"/>
  </r>
  <r>
    <x v="48"/>
    <x v="3"/>
    <n v="46"/>
    <x v="106"/>
    <n v="12"/>
    <n v="26.09"/>
    <n v="7"/>
    <n v="20.59"/>
  </r>
  <r>
    <x v="48"/>
    <x v="4"/>
    <n v="46"/>
    <x v="77"/>
    <n v="15"/>
    <n v="32.61"/>
    <n v="0"/>
    <n v="0"/>
  </r>
  <r>
    <x v="48"/>
    <x v="5"/>
    <n v="46"/>
    <x v="98"/>
    <n v="23"/>
    <n v="50"/>
    <n v="6"/>
    <n v="26.09"/>
  </r>
  <r>
    <x v="48"/>
    <x v="6"/>
    <n v="46"/>
    <x v="103"/>
    <n v="9"/>
    <n v="19.57"/>
    <n v="1"/>
    <n v="2.7"/>
  </r>
  <r>
    <x v="49"/>
    <x v="0"/>
    <n v="86"/>
    <x v="7"/>
    <n v="9"/>
    <n v="10.47"/>
    <n v="1"/>
    <n v="1.3"/>
  </r>
  <r>
    <x v="49"/>
    <x v="1"/>
    <n v="86"/>
    <x v="121"/>
    <n v="12"/>
    <n v="13.95"/>
    <n v="6"/>
    <n v="8.11"/>
  </r>
  <r>
    <x v="49"/>
    <x v="2"/>
    <n v="86"/>
    <x v="80"/>
    <n v="11"/>
    <n v="12.79"/>
    <n v="9"/>
    <n v="12"/>
  </r>
  <r>
    <x v="49"/>
    <x v="3"/>
    <n v="86"/>
    <x v="48"/>
    <n v="10"/>
    <n v="11.63"/>
    <n v="22"/>
    <n v="28.95"/>
  </r>
  <r>
    <x v="49"/>
    <x v="4"/>
    <n v="86"/>
    <x v="82"/>
    <n v="8"/>
    <n v="9.3000000000000007"/>
    <n v="28"/>
    <n v="35.9"/>
  </r>
  <r>
    <x v="49"/>
    <x v="5"/>
    <n v="86"/>
    <x v="139"/>
    <n v="22"/>
    <n v="25.58"/>
    <n v="11"/>
    <n v="17.190000000000001"/>
  </r>
  <r>
    <x v="49"/>
    <x v="6"/>
    <n v="86"/>
    <x v="7"/>
    <n v="9"/>
    <n v="10.47"/>
    <n v="21"/>
    <n v="27.27"/>
  </r>
  <r>
    <x v="50"/>
    <x v="0"/>
    <n v="2"/>
    <x v="53"/>
    <n v="1"/>
    <n v="50"/>
    <n v="0"/>
    <n v="0"/>
  </r>
  <r>
    <x v="50"/>
    <x v="1"/>
    <n v="2"/>
    <x v="53"/>
    <n v="1"/>
    <n v="50"/>
    <n v="0"/>
    <n v="0"/>
  </r>
  <r>
    <x v="50"/>
    <x v="2"/>
    <n v="2"/>
    <x v="140"/>
    <n v="0"/>
    <n v="0"/>
    <n v="0"/>
    <n v="0"/>
  </r>
  <r>
    <x v="50"/>
    <x v="3"/>
    <n v="2"/>
    <x v="140"/>
    <n v="0"/>
    <n v="0"/>
    <n v="2"/>
    <n v="100"/>
  </r>
  <r>
    <x v="50"/>
    <x v="4"/>
    <n v="2"/>
    <x v="140"/>
    <n v="0"/>
    <n v="0"/>
    <n v="0"/>
    <n v="0"/>
  </r>
  <r>
    <x v="50"/>
    <x v="5"/>
    <n v="2"/>
    <x v="140"/>
    <n v="0"/>
    <n v="0"/>
    <n v="0"/>
    <n v="0"/>
  </r>
  <r>
    <x v="50"/>
    <x v="6"/>
    <n v="2"/>
    <x v="18"/>
    <n v="2"/>
    <n v="100"/>
    <n v="0"/>
    <m/>
  </r>
  <r>
    <x v="51"/>
    <x v="0"/>
    <n v="14"/>
    <x v="39"/>
    <n v="8"/>
    <n v="57.14"/>
    <n v="0"/>
    <n v="0"/>
  </r>
  <r>
    <x v="51"/>
    <x v="1"/>
    <n v="14"/>
    <x v="39"/>
    <n v="8"/>
    <n v="57.14"/>
    <n v="0"/>
    <n v="0"/>
  </r>
  <r>
    <x v="51"/>
    <x v="2"/>
    <n v="14"/>
    <x v="54"/>
    <n v="1"/>
    <n v="7.14"/>
    <n v="1"/>
    <n v="7.69"/>
  </r>
  <r>
    <x v="51"/>
    <x v="3"/>
    <n v="14"/>
    <x v="56"/>
    <n v="2"/>
    <n v="14.29"/>
    <n v="2"/>
    <n v="16.670000000000002"/>
  </r>
  <r>
    <x v="51"/>
    <x v="4"/>
    <n v="14"/>
    <x v="54"/>
    <n v="1"/>
    <n v="7.14"/>
    <n v="4"/>
    <n v="30.77"/>
  </r>
  <r>
    <x v="51"/>
    <x v="5"/>
    <n v="14"/>
    <x v="39"/>
    <n v="8"/>
    <n v="57.14"/>
    <n v="0"/>
    <n v="0"/>
  </r>
  <r>
    <x v="51"/>
    <x v="6"/>
    <n v="14"/>
    <x v="39"/>
    <n v="8"/>
    <n v="57.14"/>
    <n v="3"/>
    <n v="50"/>
  </r>
  <r>
    <x v="52"/>
    <x v="0"/>
    <n v="91"/>
    <x v="141"/>
    <n v="29"/>
    <n v="31.87"/>
    <n v="4"/>
    <n v="6.45"/>
  </r>
  <r>
    <x v="52"/>
    <x v="1"/>
    <n v="91"/>
    <x v="25"/>
    <n v="36"/>
    <n v="39.56"/>
    <n v="1"/>
    <n v="1.82"/>
  </r>
  <r>
    <x v="52"/>
    <x v="2"/>
    <n v="91"/>
    <x v="22"/>
    <n v="28"/>
    <n v="30.77"/>
    <n v="14"/>
    <n v="22.22"/>
  </r>
  <r>
    <x v="52"/>
    <x v="3"/>
    <n v="91"/>
    <x v="141"/>
    <n v="29"/>
    <n v="31.87"/>
    <n v="20"/>
    <n v="32.26"/>
  </r>
  <r>
    <x v="52"/>
    <x v="4"/>
    <n v="91"/>
    <x v="129"/>
    <n v="20"/>
    <n v="21.98"/>
    <n v="4"/>
    <n v="5.63"/>
  </r>
  <r>
    <x v="52"/>
    <x v="5"/>
    <n v="91"/>
    <x v="35"/>
    <n v="45"/>
    <n v="49.45"/>
    <n v="19"/>
    <n v="41.3"/>
  </r>
  <r>
    <x v="52"/>
    <x v="6"/>
    <n v="91"/>
    <x v="15"/>
    <n v="25"/>
    <n v="27.47"/>
    <n v="17"/>
    <n v="25.76"/>
  </r>
  <r>
    <x v="53"/>
    <x v="0"/>
    <n v="126"/>
    <x v="72"/>
    <n v="18"/>
    <n v="14.29"/>
    <n v="1"/>
    <n v="0.93"/>
  </r>
  <r>
    <x v="53"/>
    <x v="1"/>
    <n v="126"/>
    <x v="129"/>
    <n v="55"/>
    <n v="43.65"/>
    <n v="1"/>
    <n v="1.41"/>
  </r>
  <r>
    <x v="53"/>
    <x v="2"/>
    <n v="126"/>
    <x v="93"/>
    <n v="27"/>
    <n v="21.43"/>
    <n v="8"/>
    <n v="8.08"/>
  </r>
  <r>
    <x v="53"/>
    <x v="3"/>
    <n v="126"/>
    <x v="142"/>
    <n v="26"/>
    <n v="20.63"/>
    <n v="3"/>
    <n v="3"/>
  </r>
  <r>
    <x v="53"/>
    <x v="4"/>
    <n v="126"/>
    <x v="47"/>
    <n v="14"/>
    <n v="11.11"/>
    <n v="2"/>
    <n v="1.79"/>
  </r>
  <r>
    <x v="53"/>
    <x v="5"/>
    <n v="126"/>
    <x v="6"/>
    <n v="66"/>
    <n v="52.38"/>
    <n v="12"/>
    <n v="20"/>
  </r>
  <r>
    <x v="53"/>
    <x v="6"/>
    <n v="126"/>
    <x v="71"/>
    <n v="23"/>
    <n v="18.25"/>
    <n v="0"/>
    <n v="0"/>
  </r>
  <r>
    <x v="54"/>
    <x v="0"/>
    <n v="49"/>
    <x v="143"/>
    <n v="11"/>
    <n v="22.45"/>
    <n v="5"/>
    <n v="13.16"/>
  </r>
  <r>
    <x v="54"/>
    <x v="1"/>
    <n v="49"/>
    <x v="16"/>
    <n v="17"/>
    <n v="34.69"/>
    <n v="9"/>
    <n v="28.13"/>
  </r>
  <r>
    <x v="54"/>
    <x v="2"/>
    <n v="49"/>
    <x v="144"/>
    <n v="9"/>
    <n v="18.37"/>
    <n v="3"/>
    <n v="7.5"/>
  </r>
  <r>
    <x v="54"/>
    <x v="3"/>
    <n v="49"/>
    <x v="123"/>
    <n v="16"/>
    <n v="32.65"/>
    <n v="14"/>
    <n v="42.42"/>
  </r>
  <r>
    <x v="54"/>
    <x v="4"/>
    <n v="49"/>
    <x v="35"/>
    <n v="3"/>
    <n v="6.12"/>
    <n v="14"/>
    <n v="30.43"/>
  </r>
  <r>
    <x v="54"/>
    <x v="5"/>
    <n v="49"/>
    <x v="98"/>
    <n v="26"/>
    <n v="53.06"/>
    <n v="6"/>
    <n v="26.09"/>
  </r>
  <r>
    <x v="54"/>
    <x v="6"/>
    <n v="49"/>
    <x v="143"/>
    <n v="11"/>
    <n v="22.45"/>
    <n v="7"/>
    <n v="18.420000000000002"/>
  </r>
  <r>
    <x v="55"/>
    <x v="0"/>
    <n v="28"/>
    <x v="60"/>
    <n v="12"/>
    <n v="42.86"/>
    <n v="1"/>
    <n v="6.25"/>
  </r>
  <r>
    <x v="55"/>
    <x v="1"/>
    <n v="28"/>
    <x v="55"/>
    <n v="19"/>
    <n v="67.86"/>
    <n v="2"/>
    <n v="22.22"/>
  </r>
  <r>
    <x v="55"/>
    <x v="2"/>
    <n v="28"/>
    <x v="62"/>
    <n v="13"/>
    <n v="46.43"/>
    <n v="1"/>
    <n v="6.67"/>
  </r>
  <r>
    <x v="55"/>
    <x v="3"/>
    <n v="28"/>
    <x v="54"/>
    <n v="15"/>
    <n v="53.57"/>
    <n v="5"/>
    <n v="38.46"/>
  </r>
  <r>
    <x v="55"/>
    <x v="4"/>
    <n v="28"/>
    <x v="105"/>
    <n v="9"/>
    <n v="32.14"/>
    <n v="1"/>
    <n v="5.26"/>
  </r>
  <r>
    <x v="55"/>
    <x v="5"/>
    <n v="28"/>
    <x v="4"/>
    <n v="21"/>
    <n v="75"/>
    <n v="0"/>
    <n v="0"/>
  </r>
  <r>
    <x v="55"/>
    <x v="6"/>
    <n v="28"/>
    <x v="62"/>
    <n v="13"/>
    <n v="46.43"/>
    <n v="1"/>
    <n v="6.6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
  <r>
    <x v="0"/>
    <x v="0"/>
    <n v="45"/>
    <n v="26"/>
    <n v="19"/>
    <n v="42.22"/>
    <n v="4"/>
    <n v="15.38"/>
  </r>
  <r>
    <x v="0"/>
    <x v="1"/>
    <n v="45"/>
    <n v="9"/>
    <n v="36"/>
    <n v="80"/>
    <n v="0"/>
    <n v="0"/>
  </r>
  <r>
    <x v="0"/>
    <x v="2"/>
    <n v="45"/>
    <n v="13"/>
    <n v="32"/>
    <n v="71.11"/>
    <n v="0"/>
    <n v="0"/>
  </r>
  <r>
    <x v="0"/>
    <x v="3"/>
    <n v="45"/>
    <n v="16"/>
    <n v="29"/>
    <n v="64.44"/>
    <n v="5"/>
    <n v="31.25"/>
  </r>
  <r>
    <x v="0"/>
    <x v="4"/>
    <n v="45"/>
    <n v="19"/>
    <n v="26"/>
    <n v="57.78"/>
    <n v="1"/>
    <n v="5.26"/>
  </r>
  <r>
    <x v="0"/>
    <x v="5"/>
    <n v="45"/>
    <n v="10"/>
    <n v="35"/>
    <n v="77.78"/>
    <n v="2"/>
    <n v="20"/>
  </r>
  <r>
    <x v="0"/>
    <x v="6"/>
    <n v="45"/>
    <n v="14"/>
    <n v="31"/>
    <n v="68.89"/>
    <n v="3"/>
    <n v="21.43"/>
  </r>
  <r>
    <x v="1"/>
    <x v="0"/>
    <n v="561"/>
    <n v="344"/>
    <n v="217"/>
    <n v="38.68"/>
    <n v="37"/>
    <n v="10.76"/>
  </r>
  <r>
    <x v="1"/>
    <x v="1"/>
    <n v="561"/>
    <n v="225"/>
    <n v="336"/>
    <n v="59.89"/>
    <n v="51"/>
    <n v="22.67"/>
  </r>
  <r>
    <x v="1"/>
    <x v="2"/>
    <n v="561"/>
    <n v="330"/>
    <n v="231"/>
    <n v="41.18"/>
    <n v="40"/>
    <n v="12.12"/>
  </r>
  <r>
    <x v="1"/>
    <x v="3"/>
    <n v="561"/>
    <n v="279"/>
    <n v="282"/>
    <n v="50.27"/>
    <n v="82"/>
    <n v="29.39"/>
  </r>
  <r>
    <x v="1"/>
    <x v="4"/>
    <n v="561"/>
    <n v="398"/>
    <n v="163"/>
    <n v="29.06"/>
    <n v="52"/>
    <n v="13.07"/>
  </r>
  <r>
    <x v="1"/>
    <x v="5"/>
    <n v="561"/>
    <n v="183"/>
    <n v="378"/>
    <n v="67.38"/>
    <n v="48"/>
    <n v="26.23"/>
  </r>
  <r>
    <x v="1"/>
    <x v="6"/>
    <n v="561"/>
    <n v="362"/>
    <n v="199"/>
    <n v="35.47"/>
    <n v="62"/>
    <n v="17.13"/>
  </r>
  <r>
    <x v="2"/>
    <x v="0"/>
    <n v="407"/>
    <n v="230"/>
    <n v="177"/>
    <n v="43.49"/>
    <n v="28"/>
    <n v="12.17"/>
  </r>
  <r>
    <x v="2"/>
    <x v="1"/>
    <n v="407"/>
    <n v="175"/>
    <n v="232"/>
    <n v="57"/>
    <n v="30"/>
    <n v="17.14"/>
  </r>
  <r>
    <x v="2"/>
    <x v="2"/>
    <n v="407"/>
    <n v="246"/>
    <n v="161"/>
    <n v="39.56"/>
    <n v="21"/>
    <n v="8.5399999999999991"/>
  </r>
  <r>
    <x v="2"/>
    <x v="3"/>
    <n v="407"/>
    <n v="217"/>
    <n v="190"/>
    <n v="46.68"/>
    <n v="60"/>
    <n v="27.65"/>
  </r>
  <r>
    <x v="2"/>
    <x v="4"/>
    <n v="407"/>
    <n v="297"/>
    <n v="110"/>
    <n v="27.03"/>
    <n v="52"/>
    <n v="17.510000000000002"/>
  </r>
  <r>
    <x v="2"/>
    <x v="5"/>
    <n v="407"/>
    <n v="127"/>
    <n v="280"/>
    <n v="68.8"/>
    <n v="25"/>
    <n v="19.690000000000001"/>
  </r>
  <r>
    <x v="2"/>
    <x v="6"/>
    <n v="407"/>
    <n v="245"/>
    <n v="162"/>
    <n v="39.799999999999997"/>
    <n v="37"/>
    <n v="15.1"/>
  </r>
  <r>
    <x v="3"/>
    <x v="0"/>
    <n v="65"/>
    <n v="44"/>
    <n v="21"/>
    <n v="32.31"/>
    <n v="5"/>
    <n v="11.36"/>
  </r>
  <r>
    <x v="3"/>
    <x v="1"/>
    <n v="65"/>
    <n v="37"/>
    <n v="28"/>
    <n v="43.08"/>
    <n v="7"/>
    <n v="18.920000000000002"/>
  </r>
  <r>
    <x v="3"/>
    <x v="2"/>
    <n v="65"/>
    <n v="41"/>
    <n v="24"/>
    <n v="36.92"/>
    <n v="4"/>
    <n v="9.76"/>
  </r>
  <r>
    <x v="3"/>
    <x v="3"/>
    <n v="65"/>
    <n v="44"/>
    <n v="21"/>
    <n v="32.31"/>
    <n v="15"/>
    <n v="34.090000000000003"/>
  </r>
  <r>
    <x v="3"/>
    <x v="4"/>
    <n v="65"/>
    <n v="45"/>
    <n v="20"/>
    <n v="30.77"/>
    <n v="19"/>
    <n v="42.22"/>
  </r>
  <r>
    <x v="3"/>
    <x v="5"/>
    <n v="65"/>
    <n v="38"/>
    <n v="27"/>
    <n v="41.54"/>
    <n v="17"/>
    <n v="44.74"/>
  </r>
  <r>
    <x v="3"/>
    <x v="6"/>
    <n v="65"/>
    <n v="43"/>
    <n v="22"/>
    <n v="33.85"/>
    <n v="26"/>
    <n v="60.47"/>
  </r>
  <r>
    <x v="4"/>
    <x v="0"/>
    <n v="68"/>
    <n v="40"/>
    <n v="28"/>
    <n v="41.18"/>
    <n v="1"/>
    <n v="2.5"/>
  </r>
  <r>
    <x v="4"/>
    <x v="1"/>
    <n v="68"/>
    <n v="16"/>
    <n v="52"/>
    <n v="76.47"/>
    <n v="8"/>
    <n v="50"/>
  </r>
  <r>
    <x v="4"/>
    <x v="2"/>
    <n v="68"/>
    <n v="14"/>
    <n v="54"/>
    <n v="79.41"/>
    <n v="0"/>
    <n v="0"/>
  </r>
  <r>
    <x v="4"/>
    <x v="3"/>
    <n v="68"/>
    <n v="50"/>
    <n v="18"/>
    <n v="26.47"/>
    <n v="5"/>
    <n v="10"/>
  </r>
  <r>
    <x v="4"/>
    <x v="4"/>
    <n v="68"/>
    <n v="14"/>
    <n v="54"/>
    <n v="79.41"/>
    <n v="0"/>
    <n v="0"/>
  </r>
  <r>
    <x v="4"/>
    <x v="5"/>
    <n v="68"/>
    <n v="16"/>
    <n v="52"/>
    <n v="76.47"/>
    <n v="2"/>
    <n v="12.5"/>
  </r>
  <r>
    <x v="4"/>
    <x v="6"/>
    <n v="68"/>
    <n v="24"/>
    <n v="44"/>
    <n v="64.709999999999994"/>
    <n v="5"/>
    <n v="20.83"/>
  </r>
  <r>
    <x v="5"/>
    <x v="0"/>
    <n v="800"/>
    <n v="659"/>
    <n v="141"/>
    <n v="17.63"/>
    <n v="37"/>
    <n v="5.61"/>
  </r>
  <r>
    <x v="5"/>
    <x v="1"/>
    <n v="800"/>
    <n v="451"/>
    <n v="349"/>
    <n v="43.63"/>
    <n v="69"/>
    <n v="15.3"/>
  </r>
  <r>
    <x v="5"/>
    <x v="2"/>
    <n v="800"/>
    <n v="588"/>
    <n v="212"/>
    <n v="26.5"/>
    <n v="65"/>
    <n v="11.05"/>
  </r>
  <r>
    <x v="5"/>
    <x v="3"/>
    <n v="800"/>
    <n v="646"/>
    <n v="154"/>
    <n v="19.25"/>
    <n v="324"/>
    <n v="50.15"/>
  </r>
  <r>
    <x v="5"/>
    <x v="4"/>
    <n v="800"/>
    <n v="629"/>
    <n v="171"/>
    <n v="21.38"/>
    <n v="213"/>
    <n v="33.86"/>
  </r>
  <r>
    <x v="5"/>
    <x v="5"/>
    <n v="800"/>
    <n v="520"/>
    <n v="280"/>
    <n v="35"/>
    <n v="95"/>
    <n v="18.27"/>
  </r>
  <r>
    <x v="5"/>
    <x v="6"/>
    <n v="800"/>
    <n v="623"/>
    <n v="177"/>
    <n v="22.13"/>
    <n v="135"/>
    <n v="21.67"/>
  </r>
  <r>
    <x v="6"/>
    <x v="0"/>
    <n v="9"/>
    <n v="3"/>
    <n v="6"/>
    <n v="66.67"/>
    <n v="0"/>
    <n v="0"/>
  </r>
  <r>
    <x v="6"/>
    <x v="1"/>
    <n v="9"/>
    <n v="0"/>
    <n v="9"/>
    <n v="100"/>
    <n v="0"/>
    <m/>
  </r>
  <r>
    <x v="6"/>
    <x v="2"/>
    <n v="9"/>
    <n v="2"/>
    <n v="7"/>
    <n v="77.78"/>
    <n v="0"/>
    <n v="0"/>
  </r>
  <r>
    <x v="6"/>
    <x v="3"/>
    <n v="9"/>
    <n v="4"/>
    <n v="5"/>
    <n v="55.56"/>
    <n v="1"/>
    <n v="25"/>
  </r>
  <r>
    <x v="6"/>
    <x v="4"/>
    <n v="9"/>
    <n v="3"/>
    <n v="6"/>
    <n v="66.67"/>
    <n v="0"/>
    <n v="0"/>
  </r>
  <r>
    <x v="6"/>
    <x v="5"/>
    <n v="9"/>
    <n v="0"/>
    <n v="9"/>
    <n v="100"/>
    <n v="0"/>
    <m/>
  </r>
  <r>
    <x v="6"/>
    <x v="6"/>
    <n v="9"/>
    <n v="1"/>
    <n v="8"/>
    <n v="88.89"/>
    <n v="0"/>
    <n v="0"/>
  </r>
  <r>
    <x v="7"/>
    <x v="0"/>
    <n v="343"/>
    <n v="308"/>
    <n v="35"/>
    <n v="10.199999999999999"/>
    <n v="19"/>
    <n v="6.17"/>
  </r>
  <r>
    <x v="7"/>
    <x v="1"/>
    <n v="343"/>
    <n v="265"/>
    <n v="78"/>
    <n v="22.74"/>
    <n v="27"/>
    <n v="10.19"/>
  </r>
  <r>
    <x v="7"/>
    <x v="2"/>
    <n v="343"/>
    <n v="304"/>
    <n v="39"/>
    <n v="11.37"/>
    <n v="41"/>
    <n v="13.49"/>
  </r>
  <r>
    <x v="7"/>
    <x v="3"/>
    <n v="343"/>
    <n v="294"/>
    <n v="49"/>
    <n v="14.29"/>
    <n v="79"/>
    <n v="26.87"/>
  </r>
  <r>
    <x v="7"/>
    <x v="4"/>
    <n v="343"/>
    <n v="320"/>
    <n v="23"/>
    <n v="6.71"/>
    <n v="76"/>
    <n v="23.75"/>
  </r>
  <r>
    <x v="7"/>
    <x v="5"/>
    <n v="343"/>
    <n v="256"/>
    <n v="87"/>
    <n v="25.36"/>
    <n v="79"/>
    <n v="30.86"/>
  </r>
  <r>
    <x v="7"/>
    <x v="6"/>
    <n v="343"/>
    <n v="303"/>
    <n v="40"/>
    <n v="11.66"/>
    <n v="84"/>
    <n v="27.72"/>
  </r>
  <r>
    <x v="8"/>
    <x v="0"/>
    <n v="462"/>
    <n v="376"/>
    <n v="86"/>
    <n v="18.61"/>
    <n v="20"/>
    <n v="5.32"/>
  </r>
  <r>
    <x v="8"/>
    <x v="1"/>
    <n v="462"/>
    <n v="310"/>
    <n v="152"/>
    <n v="32.9"/>
    <n v="40"/>
    <n v="12.9"/>
  </r>
  <r>
    <x v="8"/>
    <x v="2"/>
    <n v="462"/>
    <n v="355"/>
    <n v="107"/>
    <n v="23.16"/>
    <n v="31"/>
    <n v="8.73"/>
  </r>
  <r>
    <x v="8"/>
    <x v="3"/>
    <n v="462"/>
    <n v="368"/>
    <n v="94"/>
    <n v="20.350000000000001"/>
    <n v="102"/>
    <n v="27.72"/>
  </r>
  <r>
    <x v="8"/>
    <x v="4"/>
    <n v="462"/>
    <n v="382"/>
    <n v="80"/>
    <n v="17.32"/>
    <n v="69"/>
    <n v="18.059999999999999"/>
  </r>
  <r>
    <x v="8"/>
    <x v="5"/>
    <n v="462"/>
    <n v="302"/>
    <n v="160"/>
    <n v="34.630000000000003"/>
    <n v="88"/>
    <n v="29.14"/>
  </r>
  <r>
    <x v="8"/>
    <x v="6"/>
    <n v="462"/>
    <n v="356"/>
    <n v="106"/>
    <n v="22.94"/>
    <n v="104"/>
    <n v="29.21"/>
  </r>
  <r>
    <x v="9"/>
    <x v="0"/>
    <n v="2052"/>
    <n v="1580"/>
    <n v="472"/>
    <n v="23"/>
    <n v="91"/>
    <n v="5.76"/>
  </r>
  <r>
    <x v="9"/>
    <x v="1"/>
    <n v="2052"/>
    <n v="1291"/>
    <n v="761"/>
    <n v="37.090000000000003"/>
    <n v="138"/>
    <n v="10.69"/>
  </r>
  <r>
    <x v="9"/>
    <x v="2"/>
    <n v="2052"/>
    <n v="1567"/>
    <n v="485"/>
    <n v="23.64"/>
    <n v="139"/>
    <n v="8.8699999999999992"/>
  </r>
  <r>
    <x v="9"/>
    <x v="3"/>
    <n v="2052"/>
    <n v="1525"/>
    <n v="527"/>
    <n v="25.68"/>
    <n v="408"/>
    <n v="26.75"/>
  </r>
  <r>
    <x v="9"/>
    <x v="4"/>
    <n v="2052"/>
    <n v="1688"/>
    <n v="364"/>
    <n v="17.739999999999998"/>
    <n v="384"/>
    <n v="22.75"/>
  </r>
  <r>
    <x v="9"/>
    <x v="5"/>
    <n v="2052"/>
    <n v="1192"/>
    <n v="860"/>
    <n v="41.91"/>
    <n v="308"/>
    <n v="25.84"/>
  </r>
  <r>
    <x v="9"/>
    <x v="6"/>
    <n v="2052"/>
    <n v="1575"/>
    <n v="477"/>
    <n v="23.25"/>
    <n v="448"/>
    <n v="28.4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D2A781F-0F06-450E-B902-67140F65666B}" name="PivotTable2"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olHeaderCaption="">
  <location ref="A33:H44" firstHeaderRow="1" firstDataRow="2" firstDataCol="1"/>
  <pivotFields count="8">
    <pivotField axis="axisRow" showAll="0">
      <items count="11">
        <item x="0"/>
        <item x="1"/>
        <item x="2"/>
        <item x="3"/>
        <item x="4"/>
        <item x="5"/>
        <item x="6"/>
        <item x="7"/>
        <item x="8"/>
        <item x="9"/>
        <item t="default"/>
      </items>
    </pivotField>
    <pivotField axis="axisCol" showAll="0">
      <items count="8">
        <item x="0"/>
        <item x="1"/>
        <item x="2"/>
        <item x="3"/>
        <item x="4"/>
        <item x="5"/>
        <item x="6"/>
        <item t="default"/>
      </items>
    </pivotField>
    <pivotField showAll="0"/>
    <pivotField showAll="0"/>
    <pivotField showAll="0"/>
    <pivotField showAll="0"/>
    <pivotField showAll="0"/>
    <pivotField dataField="1" showAll="0"/>
  </pivotFields>
  <rowFields count="1">
    <field x="0"/>
  </rowFields>
  <rowItems count="10">
    <i>
      <x/>
    </i>
    <i>
      <x v="1"/>
    </i>
    <i>
      <x v="2"/>
    </i>
    <i>
      <x v="3"/>
    </i>
    <i>
      <x v="4"/>
    </i>
    <i>
      <x v="5"/>
    </i>
    <i>
      <x v="6"/>
    </i>
    <i>
      <x v="7"/>
    </i>
    <i>
      <x v="8"/>
    </i>
    <i>
      <x v="9"/>
    </i>
  </rowItems>
  <colFields count="1">
    <field x="1"/>
  </colFields>
  <colItems count="7">
    <i>
      <x/>
    </i>
    <i>
      <x v="1"/>
    </i>
    <i>
      <x v="2"/>
    </i>
    <i>
      <x v="3"/>
    </i>
    <i>
      <x v="4"/>
    </i>
    <i>
      <x v="5"/>
    </i>
    <i>
      <x v="6"/>
    </i>
  </colItems>
  <dataFields count="1">
    <dataField name="Below-average %" fld="7" subtotal="average" baseField="0" baseItem="0" numFmtId="2"/>
  </dataField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3C1B79F-F534-4673-A818-C596F6E68C8F}" name="PivotTable1"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5:C20" firstHeaderRow="0" firstDataRow="1" firstDataCol="1"/>
  <pivotFields count="8">
    <pivotField axis="axisRow" showAll="0" measureFilter="1" sortType="descending">
      <items count="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autoSortScope>
        <pivotArea dataOnly="0" outline="0" fieldPosition="0">
          <references count="1">
            <reference field="4294967294" count="1" selected="0">
              <x v="0"/>
            </reference>
          </references>
        </pivotArea>
      </autoSortScope>
    </pivotField>
    <pivotField multipleItemSelectionAllowed="1" showAll="0">
      <items count="8">
        <item h="1" x="0"/>
        <item x="1"/>
        <item h="1" x="2"/>
        <item h="1" x="3"/>
        <item h="1" x="4"/>
        <item h="1" x="5"/>
        <item h="1" x="6"/>
        <item t="default"/>
      </items>
    </pivotField>
    <pivotField showAll="0"/>
    <pivotField dataField="1" showAll="0"/>
    <pivotField showAll="0"/>
    <pivotField showAll="0"/>
    <pivotField showAll="0"/>
    <pivotField dataField="1" showAll="0"/>
  </pivotFields>
  <rowFields count="1">
    <field x="0"/>
  </rowFields>
  <rowItems count="15">
    <i>
      <x v="20"/>
    </i>
    <i>
      <x v="39"/>
    </i>
    <i>
      <x v="1"/>
    </i>
    <i>
      <x v="54"/>
    </i>
    <i>
      <x v="2"/>
    </i>
    <i>
      <x v="47"/>
    </i>
    <i>
      <x v="18"/>
    </i>
    <i>
      <x v="55"/>
    </i>
    <i>
      <x v="28"/>
    </i>
    <i>
      <x v="14"/>
    </i>
    <i>
      <x v="19"/>
    </i>
    <i>
      <x v="5"/>
    </i>
    <i>
      <x v="4"/>
    </i>
    <i>
      <x v="41"/>
    </i>
    <i>
      <x v="35"/>
    </i>
  </rowItems>
  <colFields count="1">
    <field x="-2"/>
  </colFields>
  <colItems count="2">
    <i>
      <x/>
    </i>
    <i i="1">
      <x v="1"/>
    </i>
  </colItems>
  <dataFields count="2">
    <dataField name="Below-average %" fld="7" subtotal="average" baseField="0" baseItem="0" numFmtId="2"/>
    <dataField name="Sum of compared records" fld="3"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count" evalOrder="-1" id="3" iMeasureFld="0">
      <autoFilter ref="A1">
        <filterColumn colId="0">
          <top10 val="15" filterVal="1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2" xr16:uid="{98B0CD6F-E861-44E8-9D93-50FF73BD2269}" autoFormatId="16" applyNumberFormats="0" applyBorderFormats="0" applyFontFormats="0" applyPatternFormats="0" applyAlignmentFormats="0" applyWidthHeightFormats="0">
  <queryTableRefresh nextId="9">
    <queryTableFields count="8">
      <queryTableField id="1" name="state" tableColumnId="1"/>
      <queryTableField id="2" name="total_hospitals" tableColumnId="2"/>
      <queryTableField id="3" name="rated_hospitals" tableColumnId="3"/>
      <queryTableField id="4" name="emergency_hospitals" tableColumnId="4"/>
      <queryTableField id="5" name="emergency_service_pct" tableColumnId="5"/>
      <queryTableField id="6" name="missing_ratings" tableColumnId="6"/>
      <queryTableField id="7" name="missing_rating_pct" tableColumnId="7"/>
      <queryTableField id="8" name="avg_rating" tableColumnId="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1" xr16:uid="{B8AD2AE6-4F9E-4272-A13E-08987FAF4D64}" autoFormatId="16" applyNumberFormats="0" applyBorderFormats="0" applyFontFormats="0" applyPatternFormats="0" applyAlignmentFormats="0" applyWidthHeightFormats="0">
  <queryTableRefresh nextId="8">
    <queryTableFields count="7">
      <queryTableField id="1" name="state" tableColumnId="1"/>
      <queryTableField id="2" name="total_hospitals" tableColumnId="2"/>
      <queryTableField id="3" name="rated_hospitals" tableColumnId="3"/>
      <queryTableField id="4" name="avg_rating" tableColumnId="4"/>
      <queryTableField id="5" name="rating_coverage_pct" tableColumnId="5"/>
      <queryTableField id="6" name="sample_weight" tableColumnId="6"/>
      <queryTableField id="7" name="sample_adjusted_rating_score"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0" xr16:uid="{B14FB89E-5587-418F-9722-C21213232C50}" autoFormatId="16" applyNumberFormats="0" applyBorderFormats="0" applyFontFormats="0" applyPatternFormats="0" applyAlignmentFormats="0" applyWidthHeightFormats="0">
  <queryTableRefresh nextId="9">
    <queryTableFields count="8">
      <queryTableField id="1" name="state" tableColumnId="1"/>
      <queryTableField id="2" name="quality_domain" tableColumnId="2"/>
      <queryTableField id="3" name="total_quality_domain_records" tableColumnId="3"/>
      <queryTableField id="4" name="compared_records" tableColumnId="4"/>
      <queryTableField id="5" name="missing_records" tableColumnId="5"/>
      <queryTableField id="6" name="missing_pct" tableColumnId="6"/>
      <queryTableField id="7" name="below_average_records" tableColumnId="7"/>
      <queryTableField id="8" name="below_average_pct" tableColumnId="8"/>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6" xr16:uid="{9435A0C5-E312-47ED-B328-9592E8CC939E}" autoFormatId="16" applyNumberFormats="0" applyBorderFormats="0" applyFontFormats="0" applyPatternFormats="0" applyAlignmentFormats="0" applyWidthHeightFormats="0">
  <queryTableRefresh nextId="9">
    <queryTableFields count="8">
      <queryTableField id="1" name="hospital_ownership" tableColumnId="1"/>
      <queryTableField id="2" name="total_hospitals" tableColumnId="2"/>
      <queryTableField id="3" name="rated_hospitals" tableColumnId="3"/>
      <queryTableField id="4" name="emergency_hospitals" tableColumnId="4"/>
      <queryTableField id="5" name="emergency_service_pct" tableColumnId="5"/>
      <queryTableField id="6" name="missing_ratings" tableColumnId="6"/>
      <queryTableField id="7" name="missing_rating_pct" tableColumnId="7"/>
      <queryTableField id="8" name="avg_rating" tableColumnId="8"/>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5" xr16:uid="{8E36C930-F9A7-41D9-90FC-1D7E0D68A381}" autoFormatId="16" applyNumberFormats="0" applyBorderFormats="0" applyFontFormats="0" applyPatternFormats="0" applyAlignmentFormats="0" applyWidthHeightFormats="0">
  <queryTableRefresh nextId="8">
    <queryTableFields count="7">
      <queryTableField id="1" name="hospital_ownership" tableColumnId="1"/>
      <queryTableField id="2" name="total_hospitals" tableColumnId="2"/>
      <queryTableField id="3" name="rated_hospitals" tableColumnId="3"/>
      <queryTableField id="4" name="avg_rating" tableColumnId="4"/>
      <queryTableField id="5" name="rating_coverage_pct" tableColumnId="5"/>
      <queryTableField id="6" name="sample_weight" tableColumnId="6"/>
      <queryTableField id="7" name="sample_adjusted_rating_score" tableColumnId="7"/>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4" xr16:uid="{D48DE05B-21A4-46C8-A4BF-2B6DFD67EA45}" autoFormatId="16" applyNumberFormats="0" applyBorderFormats="0" applyFontFormats="0" applyPatternFormats="0" applyAlignmentFormats="0" applyWidthHeightFormats="0">
  <queryTableRefresh nextId="9">
    <queryTableFields count="8">
      <queryTableField id="1" name="hospital_ownership" tableColumnId="1"/>
      <queryTableField id="2" name="quality_domain" tableColumnId="2"/>
      <queryTableField id="3" name="total_quality_domain_records" tableColumnId="3"/>
      <queryTableField id="4" name="compared_records" tableColumnId="4"/>
      <queryTableField id="5" name="missing_records" tableColumnId="5"/>
      <queryTableField id="6" name="missing_pct" tableColumnId="6"/>
      <queryTableField id="7" name="below_average_records" tableColumnId="7"/>
      <queryTableField id="8" name="below_average_pct" tableColumnId="8"/>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connectionId="3" xr16:uid="{914773EA-C235-482B-9C4B-A614F2F250E4}" autoFormatId="16" applyNumberFormats="0" applyBorderFormats="0" applyFontFormats="0" applyPatternFormats="0" applyAlignmentFormats="0" applyWidthHeightFormats="0">
  <queryTableRefresh nextId="9">
    <queryTableFields count="8">
      <queryTableField id="1" name="hospital_type" tableColumnId="1"/>
      <queryTableField id="2" name="total_hospitals" tableColumnId="2"/>
      <queryTableField id="3" name="rated_hospitals" tableColumnId="3"/>
      <queryTableField id="4" name="emergency_hospitals" tableColumnId="4"/>
      <queryTableField id="5" name="emergency_service_pct" tableColumnId="5"/>
      <queryTableField id="6" name="missing_ratings" tableColumnId="6"/>
      <queryTableField id="7" name="missing_rating_pct" tableColumnId="7"/>
      <queryTableField id="8" name="avg_rating" tableColumnId="8"/>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connectionId="2" xr16:uid="{3C5F001E-5373-46DE-BC44-70A9851FA486}" autoFormatId="16" applyNumberFormats="0" applyBorderFormats="0" applyFontFormats="0" applyPatternFormats="0" applyAlignmentFormats="0" applyWidthHeightFormats="0">
  <queryTableRefresh nextId="8">
    <queryTableFields count="7">
      <queryTableField id="1" name="hospital_type" tableColumnId="1"/>
      <queryTableField id="2" name="total_hospitals" tableColumnId="2"/>
      <queryTableField id="3" name="rated_hospitals" tableColumnId="3"/>
      <queryTableField id="4" name="avg_rating" tableColumnId="4"/>
      <queryTableField id="5" name="rating_coverage_pct" tableColumnId="5"/>
      <queryTableField id="6" name="sample_weight" tableColumnId="6"/>
      <queryTableField id="7" name="sample_adjusted_rating_score" tableColumnId="7"/>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1" connectionId="1" xr16:uid="{5CEB344A-82C2-4FB7-8464-E2CD0AA1A490}" autoFormatId="16" applyNumberFormats="0" applyBorderFormats="0" applyFontFormats="0" applyPatternFormats="0" applyAlignmentFormats="0" applyWidthHeightFormats="0">
  <queryTableRefresh nextId="9">
    <queryTableFields count="8">
      <queryTableField id="1" name="hospital_type" tableColumnId="1"/>
      <queryTableField id="2" name="quality_domain" tableColumnId="2"/>
      <queryTableField id="3" name="total_quality_domain_records" tableColumnId="3"/>
      <queryTableField id="4" name="compared_records" tableColumnId="4"/>
      <queryTableField id="5" name="missing_records" tableColumnId="5"/>
      <queryTableField id="6" name="missing_pct" tableColumnId="6"/>
      <queryTableField id="7" name="below_average_records" tableColumnId="7"/>
      <queryTableField id="8" name="below_average_pct" tableColumnId="8"/>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1" connectionId="9" xr16:uid="{3BF80D87-9E2B-4653-9475-BFB1AAF92636}" autoFormatId="16" applyNumberFormats="0" applyBorderFormats="0" applyFontFormats="0" applyPatternFormats="0" applyAlignmentFormats="0" applyWidthHeightFormats="0">
  <queryTableRefresh nextId="4">
    <queryTableFields count="3">
      <queryTableField id="1" name="quality_domain" tableColumnId="1"/>
      <queryTableField id="2" name="national_comparison" tableColumnId="2"/>
      <queryTableField id="3" name="hospital_count" tableColumnId="3"/>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1" connectionId="8" xr16:uid="{3630714C-1357-41D9-9054-D815F3821E19}" autoFormatId="16" applyNumberFormats="0" applyBorderFormats="0" applyFontFormats="0" applyPatternFormats="0" applyAlignmentFormats="0" applyWidthHeightFormats="0">
  <queryTableRefresh nextId="5">
    <queryTableFields count="4">
      <queryTableField id="1" name="quality_domain" tableColumnId="1"/>
      <queryTableField id="2" name="total_records" tableColumnId="2"/>
      <queryTableField id="3" name="missing_records" tableColumnId="3"/>
      <queryTableField id="4" name="missing_pct" tableColumnId="4"/>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alData_1" connectionId="7" xr16:uid="{073626EE-328E-4864-B29E-E2AD501B0446}" autoFormatId="16" applyNumberFormats="0" applyBorderFormats="0" applyFontFormats="0" applyPatternFormats="0" applyAlignmentFormats="0" applyWidthHeightFormats="0">
  <queryTableRefresh nextId="5">
    <queryTableFields count="4">
      <queryTableField id="1" name="quality_domain" tableColumnId="1"/>
      <queryTableField id="2" name="total_compared_records" tableColumnId="2"/>
      <queryTableField id="3" name="below_average_records" tableColumnId="3"/>
      <queryTableField id="4" name="below_average_pct" tableColumnId="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lity_domain" xr10:uid="{835A5CE4-284D-4904-B423-AA880EC48F8B}" sourceName="quality_domain">
  <pivotTables>
    <pivotTable tabId="15" name="PivotTable1"/>
  </pivotTables>
  <data>
    <tabular pivotCacheId="1655156852">
      <items count="7">
        <i x="0"/>
        <i x="1" s="1"/>
        <i x="2"/>
        <i x="3"/>
        <i x="4"/>
        <i x="5"/>
        <i x="6"/>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lity_domain" xr10:uid="{DAD9E6C7-0A9C-440B-8A01-DF802CA729E9}" cache="Slicer_quality_domain" caption="quality_domain"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F7D1776-D5EB-4BD9-93C3-8743D4DCECF2}" name="state_summary" displayName="state_summary" ref="A1:H57" tableType="queryTable" totalsRowShown="0">
  <autoFilter ref="A1:H57" xr:uid="{2F7D1776-D5EB-4BD9-93C3-8743D4DCECF2}"/>
  <sortState xmlns:xlrd2="http://schemas.microsoft.com/office/spreadsheetml/2017/richdata2" ref="A2:H57">
    <sortCondition descending="1" ref="B1:B57"/>
  </sortState>
  <tableColumns count="8">
    <tableColumn id="1" xr3:uid="{BC01477F-D738-40FC-A17A-ED13EEB0FBB1}" uniqueName="1" name="state" queryTableFieldId="1" dataDxfId="15"/>
    <tableColumn id="2" xr3:uid="{BAFF9366-95DE-4AC3-B6F1-FB92142223F7}" uniqueName="2" name="total_hospitals" queryTableFieldId="2"/>
    <tableColumn id="3" xr3:uid="{1EF7843C-79FA-41E1-9019-492E7D21651B}" uniqueName="3" name="rated_hospitals" queryTableFieldId="3"/>
    <tableColumn id="4" xr3:uid="{18E2A363-34C0-4009-8FC3-B8C08793E184}" uniqueName="4" name="emergency_hospitals" queryTableFieldId="4"/>
    <tableColumn id="5" xr3:uid="{163ABB9A-CCEE-4B2C-BFB1-9E115C3149F2}" uniqueName="5" name="emergency_service_pct" queryTableFieldId="5"/>
    <tableColumn id="6" xr3:uid="{866728CE-124A-4450-8323-D309A44FD612}" uniqueName="6" name="missing_ratings" queryTableFieldId="6"/>
    <tableColumn id="7" xr3:uid="{EBE8E150-B38B-446C-9881-7B7F107B8244}" uniqueName="7" name="missing_rating_pct" queryTableFieldId="7"/>
    <tableColumn id="8" xr3:uid="{099B3468-87D4-4CC1-866C-CFACA7EAC8FE}" uniqueName="8" name="avg_rating" queryTableFieldId="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E59404B-E38C-4EA7-BDE3-2D27BD620F1C}" name="state_rating_rankings" displayName="state_rating_rankings" ref="A1:G54" tableType="queryTable" totalsRowShown="0">
  <autoFilter ref="A1:G54" xr:uid="{9E59404B-E38C-4EA7-BDE3-2D27BD620F1C}"/>
  <sortState xmlns:xlrd2="http://schemas.microsoft.com/office/spreadsheetml/2017/richdata2" ref="A2:G54">
    <sortCondition descending="1" ref="B1:B54"/>
  </sortState>
  <tableColumns count="7">
    <tableColumn id="1" xr3:uid="{99BF8942-992A-4185-9445-7AF6FA02271D}" uniqueName="1" name="state" queryTableFieldId="1" dataDxfId="14"/>
    <tableColumn id="2" xr3:uid="{970B73FC-E5E9-4E51-ACDA-D57E40CAD548}" uniqueName="2" name="total_hospitals" queryTableFieldId="2"/>
    <tableColumn id="3" xr3:uid="{07B120FD-593F-420E-8A30-AF2F5E9FEC3C}" uniqueName="3" name="rated_hospitals" queryTableFieldId="3"/>
    <tableColumn id="4" xr3:uid="{88406E7C-BA96-42C2-8581-B1D127E1FF98}" uniqueName="4" name="avg_rating" queryTableFieldId="4"/>
    <tableColumn id="5" xr3:uid="{C4C9317B-1D78-4FC6-8CE0-A7224FA011F6}" uniqueName="5" name="rating_coverage_pct" queryTableFieldId="5"/>
    <tableColumn id="6" xr3:uid="{207424C0-A70B-431F-B040-77F13909E237}" uniqueName="6" name="sample_weight" queryTableFieldId="6"/>
    <tableColumn id="7" xr3:uid="{8B2B4DF2-0E31-4BD7-9CA2-ED9623CCF7F0}" uniqueName="7" name="sample_adjusted_rating_score" queryTableFieldId="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C1CF5AF-C5E7-4978-BA40-1D1429C8E5C3}" name="state_quality_domain_summary" displayName="state_quality_domain_summary" ref="A1:H393" tableType="queryTable" totalsRowShown="0">
  <autoFilter ref="A1:H393" xr:uid="{FC1CF5AF-C5E7-4978-BA40-1D1429C8E5C3}"/>
  <tableColumns count="8">
    <tableColumn id="1" xr3:uid="{21B7E2B0-4F48-4BD6-B41E-0444E812FA78}" uniqueName="1" name="state" queryTableFieldId="1" dataDxfId="13"/>
    <tableColumn id="2" xr3:uid="{D8AC4739-9832-48FD-B7D8-FDCACB0E6067}" uniqueName="2" name="quality_domain" queryTableFieldId="2" dataDxfId="12"/>
    <tableColumn id="3" xr3:uid="{3947199E-8F97-43F0-8056-070D32A8A191}" uniqueName="3" name="total_quality_domain_records" queryTableFieldId="3"/>
    <tableColumn id="4" xr3:uid="{5B32EA8C-D958-457C-BFD3-CEB8A7EAFECD}" uniqueName="4" name="compared_records" queryTableFieldId="4"/>
    <tableColumn id="5" xr3:uid="{2A688E93-383B-4DE9-824D-175D5E9C5D0D}" uniqueName="5" name="missing_records" queryTableFieldId="5"/>
    <tableColumn id="6" xr3:uid="{0E2BF78D-8C68-4528-9472-3D3F9964236D}" uniqueName="6" name="missing_pct" queryTableFieldId="6"/>
    <tableColumn id="7" xr3:uid="{499648FB-B46F-41EB-8F96-7F94DE077050}" uniqueName="7" name="below_average_records" queryTableFieldId="7"/>
    <tableColumn id="8" xr3:uid="{983D3D42-0A9E-4925-B51E-92CE254BEB47}" uniqueName="8" name="below_average_pct" queryTableFieldId="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7CC8109-92DE-4FDA-BA51-8D3D6EFF6F3F}" name="ownership_summary" displayName="ownership_summary" ref="A1:H11" tableType="queryTable" totalsRowShown="0">
  <autoFilter ref="A1:H11" xr:uid="{67CC8109-92DE-4FDA-BA51-8D3D6EFF6F3F}"/>
  <sortState xmlns:xlrd2="http://schemas.microsoft.com/office/spreadsheetml/2017/richdata2" ref="A2:H11">
    <sortCondition descending="1" ref="B1:B11"/>
  </sortState>
  <tableColumns count="8">
    <tableColumn id="1" xr3:uid="{4AA7A0F4-6B55-4DD5-816D-278203861097}" uniqueName="1" name="hospital_ownership" queryTableFieldId="1" dataDxfId="11"/>
    <tableColumn id="2" xr3:uid="{76D2DA2A-47F1-45EC-9736-9AB91E20FFE3}" uniqueName="2" name="total_hospitals" queryTableFieldId="2"/>
    <tableColumn id="3" xr3:uid="{69AD4741-3BBC-4D91-A902-8C4B1E434E32}" uniqueName="3" name="rated_hospitals" queryTableFieldId="3"/>
    <tableColumn id="4" xr3:uid="{E2FCF971-40C0-4890-98F1-208F44D0742B}" uniqueName="4" name="emergency_hospitals" queryTableFieldId="4"/>
    <tableColumn id="5" xr3:uid="{4A148C57-EEC1-45EA-841B-D2A44463F7A4}" uniqueName="5" name="emergency_service_pct" queryTableFieldId="5"/>
    <tableColumn id="6" xr3:uid="{003026FC-7592-4FE5-AF9B-C8EB0378D2D3}" uniqueName="6" name="missing_ratings" queryTableFieldId="6"/>
    <tableColumn id="7" xr3:uid="{23A6F313-1249-4268-9AF3-191E89DD34F7}" uniqueName="7" name="missing_rating_pct" queryTableFieldId="7"/>
    <tableColumn id="8" xr3:uid="{AAA03D9E-4C6F-4F3E-8FBD-A8825A058DD0}" uniqueName="8" name="avg_rating" queryTableFieldId="8"/>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AAB87B5-FACE-4FD4-9659-3512873693C9}" name="ownership_rating_rankings" displayName="ownership_rating_rankings" ref="A1:G11" tableType="queryTable" totalsRowShown="0">
  <autoFilter ref="A1:G11" xr:uid="{7AAB87B5-FACE-4FD4-9659-3512873693C9}"/>
  <tableColumns count="7">
    <tableColumn id="1" xr3:uid="{23D56FB2-439D-49A0-A6EE-FF5E833EF3AB}" uniqueName="1" name="hospital_ownership" queryTableFieldId="1" dataDxfId="10"/>
    <tableColumn id="2" xr3:uid="{CD258992-9BD6-4B29-82AD-97E64CD45F41}" uniqueName="2" name="total_hospitals" queryTableFieldId="2"/>
    <tableColumn id="3" xr3:uid="{57D3BD91-3598-4458-8B78-477A7837AC6B}" uniqueName="3" name="rated_hospitals" queryTableFieldId="3"/>
    <tableColumn id="4" xr3:uid="{5B5B4B4F-4228-4C09-A0E4-C97F5D5A8B8B}" uniqueName="4" name="avg_rating" queryTableFieldId="4"/>
    <tableColumn id="5" xr3:uid="{5C1DC1CE-A9D8-4EBC-AD1F-7C6A52BD3376}" uniqueName="5" name="rating_coverage_pct" queryTableFieldId="5"/>
    <tableColumn id="6" xr3:uid="{BC1C433B-B774-4A18-A91C-2FB46BFD4A9E}" uniqueName="6" name="sample_weight" queryTableFieldId="6"/>
    <tableColumn id="7" xr3:uid="{6801BD57-07E4-4504-B52D-A06896D26F82}" uniqueName="7" name="sample_adjusted_rating_score" queryTableFieldId="7"/>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3AC6ED7-FC35-463E-BB3E-5D6634864EA2}" name="ownership_quality_domain_summary" displayName="ownership_quality_domain_summary" ref="A1:H71" tableType="queryTable" totalsRowShown="0">
  <autoFilter ref="A1:H71" xr:uid="{63AC6ED7-FC35-463E-BB3E-5D6634864EA2}"/>
  <tableColumns count="8">
    <tableColumn id="1" xr3:uid="{0A5747AD-D809-4F44-A1E4-40A41E648852}" uniqueName="1" name="hospital_ownership" queryTableFieldId="1" dataDxfId="9"/>
    <tableColumn id="2" xr3:uid="{D68C832C-5883-4112-A54E-3C553A12552B}" uniqueName="2" name="quality_domain" queryTableFieldId="2" dataDxfId="8"/>
    <tableColumn id="3" xr3:uid="{DBC6C4F9-7C02-4F69-AF8F-BAF7D9C18A8F}" uniqueName="3" name="total_quality_domain_records" queryTableFieldId="3"/>
    <tableColumn id="4" xr3:uid="{A8193C4D-84B0-49D8-83A6-78C1FF210991}" uniqueName="4" name="compared_records" queryTableFieldId="4"/>
    <tableColumn id="5" xr3:uid="{3CA8A6E7-2C51-4BD4-A556-4427B544EEA0}" uniqueName="5" name="missing_records" queryTableFieldId="5"/>
    <tableColumn id="6" xr3:uid="{AC6EBD88-A8E4-4FF1-9275-DDD7A699163F}" uniqueName="6" name="missing_pct" queryTableFieldId="6"/>
    <tableColumn id="7" xr3:uid="{54130C5D-FBCF-437A-91F3-8E4B3FCE49B8}" uniqueName="7" name="below_average_records" queryTableFieldId="7"/>
    <tableColumn id="8" xr3:uid="{92B1E567-B598-4AFC-BCEE-283044B5D3EB}" uniqueName="8" name="below_average_pct" queryTableFieldId="8"/>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F6646D5-3032-4FCE-8A09-A5F84415E354}" name="hospital_type_summary" displayName="hospital_type_summary" ref="A1:H4" tableType="queryTable" totalsRowShown="0">
  <autoFilter ref="A1:H4" xr:uid="{3F6646D5-3032-4FCE-8A09-A5F84415E354}"/>
  <sortState xmlns:xlrd2="http://schemas.microsoft.com/office/spreadsheetml/2017/richdata2" ref="A2:H4">
    <sortCondition descending="1" ref="B1:B4"/>
  </sortState>
  <tableColumns count="8">
    <tableColumn id="1" xr3:uid="{57494382-B978-4E24-9C24-27B58E6B68D4}" uniqueName="1" name="hospital_type" queryTableFieldId="1" dataDxfId="7"/>
    <tableColumn id="2" xr3:uid="{1A97ED35-9CEB-4C86-BE3F-BFD7FE165C44}" uniqueName="2" name="total_hospitals" queryTableFieldId="2"/>
    <tableColumn id="3" xr3:uid="{10382CC1-CC47-4BC6-A9AF-73F2AA799221}" uniqueName="3" name="rated_hospitals" queryTableFieldId="3"/>
    <tableColumn id="4" xr3:uid="{477CEE59-BC52-4AD7-A97B-972AFB89996D}" uniqueName="4" name="emergency_hospitals" queryTableFieldId="4"/>
    <tableColumn id="5" xr3:uid="{DBB7A9D2-A041-43D7-8BC2-CAF7639BE9FE}" uniqueName="5" name="emergency_service_pct" queryTableFieldId="5"/>
    <tableColumn id="6" xr3:uid="{B2BBB982-0A91-4EDE-AFB4-A92A6066D6C9}" uniqueName="6" name="missing_ratings" queryTableFieldId="6"/>
    <tableColumn id="7" xr3:uid="{403E71EF-227C-4C26-BC78-2B249497D197}" uniqueName="7" name="missing_rating_pct" queryTableFieldId="7"/>
    <tableColumn id="8" xr3:uid="{3AE35921-C9A0-4000-ACFA-C58AD993E86A}" uniqueName="8" name="avg_rating" queryTableFieldId="8"/>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305F228-D766-408A-9FD5-24C321B1A8B3}" name="hospital_type_rating_rankings" displayName="hospital_type_rating_rankings" ref="A1:G3" tableType="queryTable" totalsRowShown="0">
  <autoFilter ref="A1:G3" xr:uid="{6305F228-D766-408A-9FD5-24C321B1A8B3}"/>
  <tableColumns count="7">
    <tableColumn id="1" xr3:uid="{C80DF437-5FE7-48FD-8C0E-48B5A840F993}" uniqueName="1" name="hospital_type" queryTableFieldId="1" dataDxfId="6"/>
    <tableColumn id="2" xr3:uid="{156E172B-0180-4AD8-A0F2-6E8ABAD2EA57}" uniqueName="2" name="total_hospitals" queryTableFieldId="2"/>
    <tableColumn id="3" xr3:uid="{01EBBAE6-4D14-4131-8D0A-C9BAFCF53E3A}" uniqueName="3" name="rated_hospitals" queryTableFieldId="3"/>
    <tableColumn id="4" xr3:uid="{549B2235-E1ED-4734-9D03-C6095315F565}" uniqueName="4" name="avg_rating" queryTableFieldId="4"/>
    <tableColumn id="5" xr3:uid="{C1A8806F-4EC7-4CC5-B9C8-F6F71C2FE3EE}" uniqueName="5" name="rating_coverage_pct" queryTableFieldId="5"/>
    <tableColumn id="6" xr3:uid="{C37B6B26-3383-46E2-BE5D-2FF325D0B917}" uniqueName="6" name="sample_weight" queryTableFieldId="6"/>
    <tableColumn id="7" xr3:uid="{B0CF7264-B3A9-4D99-AD1A-AE8F8AEF8D60}" uniqueName="7" name="sample_adjusted_rating_score" queryTableFieldId="7"/>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F673750-2D15-4103-A048-77F33EE7954A}" name="hospital_type_quality_domain_summary" displayName="hospital_type_quality_domain_summary" ref="A1:H22" tableType="queryTable" totalsRowShown="0">
  <autoFilter ref="A1:H22" xr:uid="{BF673750-2D15-4103-A048-77F33EE7954A}"/>
  <tableColumns count="8">
    <tableColumn id="1" xr3:uid="{43E9584A-6AE5-42E4-8C73-7B6CBB77450B}" uniqueName="1" name="hospital_type" queryTableFieldId="1" dataDxfId="5"/>
    <tableColumn id="2" xr3:uid="{66B712FC-2362-4393-8821-39556DA35ACF}" uniqueName="2" name="quality_domain" queryTableFieldId="2" dataDxfId="4"/>
    <tableColumn id="3" xr3:uid="{A2F7B7E7-3BFE-4A2C-952E-87FC181D306F}" uniqueName="3" name="total_quality_domain_records" queryTableFieldId="3"/>
    <tableColumn id="4" xr3:uid="{386BEEA8-DB1A-4A7A-800C-EFDA0E2D61D3}" uniqueName="4" name="compared_records" queryTableFieldId="4"/>
    <tableColumn id="5" xr3:uid="{48F54B37-43A9-4A55-969F-733DF6A4CA59}" uniqueName="5" name="missing_records" queryTableFieldId="5"/>
    <tableColumn id="6" xr3:uid="{49AAADE1-7799-4658-B428-29877F21B4F0}" uniqueName="6" name="missing_pct" queryTableFieldId="6"/>
    <tableColumn id="7" xr3:uid="{CBC71464-95F9-43D3-84B4-108B31DFB469}" uniqueName="7" name="below_average_records" queryTableFieldId="7"/>
    <tableColumn id="8" xr3:uid="{1BEB27A9-FF4A-491F-AD47-F4B217D95ED0}" uniqueName="8" name="below_average_pct" queryTableFieldId="8"/>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95B1AA0-DF65-4EBD-B29B-37D3276DB9A5}" name="quality_domain_summary" displayName="quality_domain_summary" ref="A1:C29" tableType="queryTable" totalsRowShown="0">
  <autoFilter ref="A1:C29" xr:uid="{195B1AA0-DF65-4EBD-B29B-37D3276DB9A5}"/>
  <tableColumns count="3">
    <tableColumn id="1" xr3:uid="{250BC2CA-6B37-4A6C-B840-2200261975BD}" uniqueName="1" name="quality_domain" queryTableFieldId="1" dataDxfId="3"/>
    <tableColumn id="2" xr3:uid="{0EE1BC2E-3F73-48BC-816C-A232B33A480B}" uniqueName="2" name="national_comparison" queryTableFieldId="2" dataDxfId="2"/>
    <tableColumn id="3" xr3:uid="{05197EB6-B223-4172-9F57-0C2E26880452}" uniqueName="3" name="hospital_count" queryTableFieldId="3"/>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A719B18-BCAA-4606-9BEA-688BE05EEDC0}" name="quality_domain_missingness" displayName="quality_domain_missingness" ref="A1:D8" tableType="queryTable" totalsRowShown="0">
  <autoFilter ref="A1:D8" xr:uid="{AA719B18-BCAA-4606-9BEA-688BE05EEDC0}"/>
  <tableColumns count="4">
    <tableColumn id="1" xr3:uid="{776380DF-91DF-415E-AA80-38589B5E95C7}" uniqueName="1" name="quality_domain" queryTableFieldId="1" dataDxfId="1"/>
    <tableColumn id="2" xr3:uid="{898CBD7B-7224-488A-8D3A-EEE788927003}" uniqueName="2" name="total_records" queryTableFieldId="2"/>
    <tableColumn id="3" xr3:uid="{9ADADD2A-C627-4604-A39A-16279D840AFD}" uniqueName="3" name="missing_records" queryTableFieldId="3"/>
    <tableColumn id="4" xr3:uid="{9CF99079-B094-433B-988B-CE6F3D7BB931}" uniqueName="4" name="missing_pct" queryTableFieldId="4"/>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4C1CD12-4B6A-4A3F-9189-570196318197}" name="quality_domain_below_average" displayName="quality_domain_below_average" ref="A1:D8" tableType="queryTable" totalsRowShown="0">
  <autoFilter ref="A1:D8" xr:uid="{A4C1CD12-4B6A-4A3F-9189-570196318197}"/>
  <tableColumns count="4">
    <tableColumn id="1" xr3:uid="{1EBF615F-88E5-4C37-8B96-E8C50CF9F131}" uniqueName="1" name="quality_domain" queryTableFieldId="1" dataDxfId="0"/>
    <tableColumn id="2" xr3:uid="{B2F2DDF4-1D56-49D2-BF4B-8FA431643143}" uniqueName="2" name="total_compared_records" queryTableFieldId="2"/>
    <tableColumn id="3" xr3:uid="{404D7EAD-DC0B-4A84-A7D0-85EC617EE2A1}" uniqueName="3" name="below_average_records" queryTableFieldId="3"/>
    <tableColumn id="4" xr3:uid="{8F96492C-220F-46DF-AA97-6A5C6ED8902F}" uniqueName="4" name="below_average_pct" queryTableFieldId="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1428B-3DD1-424B-84A3-82C7CC3922AE}">
  <dimension ref="A1:A106"/>
  <sheetViews>
    <sheetView tabSelected="1" zoomScale="88" zoomScaleNormal="88" workbookViewId="0">
      <selection activeCell="AE18" sqref="AE18"/>
    </sheetView>
  </sheetViews>
  <sheetFormatPr defaultRowHeight="14.4" x14ac:dyDescent="0.3"/>
  <sheetData>
    <row r="1" spans="1:1" ht="25.8" x14ac:dyDescent="0.5">
      <c r="A1" s="1" t="s">
        <v>104</v>
      </c>
    </row>
    <row r="4" spans="1:1" ht="18" x14ac:dyDescent="0.35">
      <c r="A4" s="8" t="s">
        <v>105</v>
      </c>
    </row>
    <row r="24" spans="1:1" x14ac:dyDescent="0.3">
      <c r="A24" t="s">
        <v>117</v>
      </c>
    </row>
    <row r="26" spans="1:1" ht="18" x14ac:dyDescent="0.35">
      <c r="A26" s="8" t="s">
        <v>106</v>
      </c>
    </row>
    <row r="50" spans="1:1" x14ac:dyDescent="0.3">
      <c r="A50" t="s">
        <v>118</v>
      </c>
    </row>
    <row r="52" spans="1:1" ht="18" x14ac:dyDescent="0.35">
      <c r="A52" s="8" t="s">
        <v>107</v>
      </c>
    </row>
    <row r="76" spans="1:1" x14ac:dyDescent="0.3">
      <c r="A76" t="s">
        <v>119</v>
      </c>
    </row>
    <row r="79" spans="1:1" ht="18" x14ac:dyDescent="0.35">
      <c r="A79" s="8" t="s">
        <v>108</v>
      </c>
    </row>
    <row r="102" spans="1:1" x14ac:dyDescent="0.3">
      <c r="A102" t="s">
        <v>120</v>
      </c>
    </row>
    <row r="106" spans="1:1" x14ac:dyDescent="0.3">
      <c r="A106" s="12"/>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3ED57-868B-41D2-9C2E-0A474DC62D26}">
  <dimension ref="A2:H46"/>
  <sheetViews>
    <sheetView topLeftCell="A18" workbookViewId="0">
      <selection activeCell="E25" sqref="E25"/>
    </sheetView>
  </sheetViews>
  <sheetFormatPr defaultRowHeight="14.4" x14ac:dyDescent="0.3"/>
  <cols>
    <col min="1" max="1" width="35.109375" bestFit="1" customWidth="1"/>
    <col min="2" max="2" width="18.33203125" bestFit="1" customWidth="1"/>
    <col min="3" max="3" width="27.5546875" bestFit="1" customWidth="1"/>
    <col min="4" max="4" width="25.109375" customWidth="1"/>
    <col min="5" max="5" width="16.6640625" bestFit="1" customWidth="1"/>
    <col min="6" max="6" width="11.77734375" bestFit="1" customWidth="1"/>
    <col min="7" max="7" width="12.33203125" bestFit="1" customWidth="1"/>
    <col min="8" max="8" width="16.21875" bestFit="1" customWidth="1"/>
    <col min="9" max="9" width="10.5546875" bestFit="1" customWidth="1"/>
  </cols>
  <sheetData>
    <row r="2" spans="1:4" ht="18" x14ac:dyDescent="0.35">
      <c r="A2" s="8" t="s">
        <v>113</v>
      </c>
    </row>
    <row r="5" spans="1:4" x14ac:dyDescent="0.3">
      <c r="A5" s="13" t="s">
        <v>109</v>
      </c>
      <c r="B5" t="s">
        <v>110</v>
      </c>
      <c r="C5" t="s">
        <v>112</v>
      </c>
      <c r="D5" s="16" t="s">
        <v>111</v>
      </c>
    </row>
    <row r="6" spans="1:4" x14ac:dyDescent="0.3">
      <c r="A6" s="14" t="s">
        <v>28</v>
      </c>
      <c r="B6" s="17">
        <v>62.96</v>
      </c>
      <c r="C6" s="15">
        <v>54</v>
      </c>
      <c r="D6">
        <f>_xlfn.XLOOKUP(A6,state_rating_rankings[state],state_rating_rankings[sample_adjusted_rating_score],"Not ranked")</f>
        <v>2.5</v>
      </c>
    </row>
    <row r="7" spans="1:4" x14ac:dyDescent="0.3">
      <c r="A7" s="14" t="s">
        <v>47</v>
      </c>
      <c r="B7" s="17">
        <v>40.35</v>
      </c>
      <c r="C7" s="15">
        <v>57</v>
      </c>
      <c r="D7">
        <f>_xlfn.XLOOKUP(A7,state_rating_rankings[state],state_rating_rankings[sample_adjusted_rating_score],"Not ranked")</f>
        <v>2.5299999999999998</v>
      </c>
    </row>
    <row r="8" spans="1:4" x14ac:dyDescent="0.3">
      <c r="A8" s="14" t="s">
        <v>9</v>
      </c>
      <c r="B8" s="17">
        <v>28.33</v>
      </c>
      <c r="C8" s="15">
        <v>60</v>
      </c>
      <c r="D8">
        <f>_xlfn.XLOOKUP(A8,state_rating_rankings[state],state_rating_rankings[sample_adjusted_rating_score],"Not ranked")</f>
        <v>2.4300000000000002</v>
      </c>
    </row>
    <row r="9" spans="1:4" x14ac:dyDescent="0.3">
      <c r="A9" s="14" t="s">
        <v>62</v>
      </c>
      <c r="B9" s="17">
        <v>28.13</v>
      </c>
      <c r="C9" s="15">
        <v>32</v>
      </c>
      <c r="D9">
        <f>_xlfn.XLOOKUP(A9,state_rating_rankings[state],state_rating_rankings[sample_adjusted_rating_score],"Not ranked")</f>
        <v>1.79</v>
      </c>
    </row>
    <row r="10" spans="1:4" x14ac:dyDescent="0.3">
      <c r="A10" s="14" t="s">
        <v>10</v>
      </c>
      <c r="B10" s="17">
        <v>27.91</v>
      </c>
      <c r="C10" s="15">
        <v>43</v>
      </c>
      <c r="D10">
        <f>_xlfn.XLOOKUP(A10,state_rating_rankings[state],state_rating_rankings[sample_adjusted_rating_score],"Not ranked")</f>
        <v>2.08</v>
      </c>
    </row>
    <row r="11" spans="1:4" x14ac:dyDescent="0.3">
      <c r="A11" s="14" t="s">
        <v>55</v>
      </c>
      <c r="B11" s="17">
        <v>23.83</v>
      </c>
      <c r="C11" s="15">
        <v>193</v>
      </c>
      <c r="D11">
        <f>_xlfn.XLOOKUP(A11,state_rating_rankings[state],state_rating_rankings[sample_adjusted_rating_score],"Not ranked")</f>
        <v>3</v>
      </c>
    </row>
    <row r="12" spans="1:4" x14ac:dyDescent="0.3">
      <c r="A12" s="14" t="s">
        <v>26</v>
      </c>
      <c r="B12" s="17">
        <v>22.92</v>
      </c>
      <c r="C12" s="15">
        <v>48</v>
      </c>
      <c r="D12">
        <f>_xlfn.XLOOKUP(A12,state_rating_rankings[state],state_rating_rankings[sample_adjusted_rating_score],"Not ranked")</f>
        <v>2.48</v>
      </c>
    </row>
    <row r="13" spans="1:4" x14ac:dyDescent="0.3">
      <c r="A13" s="14" t="s">
        <v>63</v>
      </c>
      <c r="B13" s="17">
        <v>22.22</v>
      </c>
      <c r="C13" s="15">
        <v>9</v>
      </c>
      <c r="D13">
        <f>_xlfn.XLOOKUP(A13,state_rating_rankings[state],state_rating_rankings[sample_adjusted_rating_score],"Not ranked")</f>
        <v>1.33</v>
      </c>
    </row>
    <row r="14" spans="1:4" x14ac:dyDescent="0.3">
      <c r="A14" s="14" t="s">
        <v>36</v>
      </c>
      <c r="B14" s="17">
        <v>20.83</v>
      </c>
      <c r="C14" s="15">
        <v>48</v>
      </c>
      <c r="D14">
        <f>_xlfn.XLOOKUP(A14,state_rating_rankings[state],state_rating_rankings[sample_adjusted_rating_score],"Not ranked")</f>
        <v>2.11</v>
      </c>
    </row>
    <row r="15" spans="1:4" x14ac:dyDescent="0.3">
      <c r="A15" s="14" t="s">
        <v>22</v>
      </c>
      <c r="B15" s="17">
        <v>20.45</v>
      </c>
      <c r="C15" s="15">
        <v>44</v>
      </c>
      <c r="D15">
        <f>_xlfn.XLOOKUP(A15,state_rating_rankings[state],state_rating_rankings[sample_adjusted_rating_score],"Not ranked")</f>
        <v>2.64</v>
      </c>
    </row>
    <row r="16" spans="1:4" x14ac:dyDescent="0.3">
      <c r="A16" s="14" t="s">
        <v>27</v>
      </c>
      <c r="B16" s="17">
        <v>19.12</v>
      </c>
      <c r="C16" s="15">
        <v>68</v>
      </c>
      <c r="D16">
        <f>_xlfn.XLOOKUP(A16,state_rating_rankings[state],state_rating_rankings[sample_adjusted_rating_score],"Not ranked")</f>
        <v>2.4</v>
      </c>
    </row>
    <row r="17" spans="1:4" x14ac:dyDescent="0.3">
      <c r="A17" s="14" t="s">
        <v>13</v>
      </c>
      <c r="B17" s="17">
        <v>17.37</v>
      </c>
      <c r="C17" s="15">
        <v>190</v>
      </c>
      <c r="D17">
        <f>_xlfn.XLOOKUP(A17,state_rating_rankings[state],state_rating_rankings[sample_adjusted_rating_score],"Not ranked")</f>
        <v>2.66</v>
      </c>
    </row>
    <row r="18" spans="1:4" x14ac:dyDescent="0.3">
      <c r="A18" s="14" t="s">
        <v>12</v>
      </c>
      <c r="B18" s="17">
        <v>16.670000000000002</v>
      </c>
      <c r="C18" s="15">
        <v>42</v>
      </c>
      <c r="D18">
        <f>_xlfn.XLOOKUP(A18,state_rating_rankings[state],state_rating_rankings[sample_adjusted_rating_score],"Not ranked")</f>
        <v>2.15</v>
      </c>
    </row>
    <row r="19" spans="1:4" x14ac:dyDescent="0.3">
      <c r="A19" s="14" t="s">
        <v>49</v>
      </c>
      <c r="B19" s="17">
        <v>16.260000000000002</v>
      </c>
      <c r="C19" s="15">
        <v>123</v>
      </c>
      <c r="D19">
        <f>_xlfn.XLOOKUP(A19,state_rating_rankings[state],state_rating_rankings[sample_adjusted_rating_score],"Not ranked")</f>
        <v>2.65</v>
      </c>
    </row>
    <row r="20" spans="1:4" x14ac:dyDescent="0.3">
      <c r="A20" s="14" t="s">
        <v>43</v>
      </c>
      <c r="B20" s="17">
        <v>15</v>
      </c>
      <c r="C20" s="15">
        <v>20</v>
      </c>
      <c r="D20">
        <f>_xlfn.XLOOKUP(A20,state_rating_rankings[state],state_rating_rankings[sample_adjusted_rating_score],"Not ranked")</f>
        <v>1.65</v>
      </c>
    </row>
    <row r="31" spans="1:4" ht="18" x14ac:dyDescent="0.35">
      <c r="A31" s="8" t="s">
        <v>114</v>
      </c>
    </row>
    <row r="33" spans="1:8" x14ac:dyDescent="0.3">
      <c r="A33" s="13" t="s">
        <v>110</v>
      </c>
      <c r="B33" s="13" t="s">
        <v>115</v>
      </c>
    </row>
    <row r="34" spans="1:8" x14ac:dyDescent="0.3">
      <c r="A34" s="13" t="s">
        <v>109</v>
      </c>
      <c r="B34" t="s">
        <v>85</v>
      </c>
      <c r="C34" t="s">
        <v>86</v>
      </c>
      <c r="D34" t="s">
        <v>87</v>
      </c>
      <c r="E34" t="s">
        <v>88</v>
      </c>
      <c r="F34" t="s">
        <v>89</v>
      </c>
      <c r="G34" t="s">
        <v>90</v>
      </c>
      <c r="H34" t="s">
        <v>91</v>
      </c>
    </row>
    <row r="35" spans="1:8" x14ac:dyDescent="0.3">
      <c r="A35" s="14" t="s">
        <v>65</v>
      </c>
      <c r="B35" s="17">
        <v>15.38</v>
      </c>
      <c r="C35" s="17">
        <v>0</v>
      </c>
      <c r="D35" s="17">
        <v>0</v>
      </c>
      <c r="E35" s="17">
        <v>31.25</v>
      </c>
      <c r="F35" s="17">
        <v>5.26</v>
      </c>
      <c r="G35" s="17">
        <v>20</v>
      </c>
      <c r="H35" s="17">
        <v>21.43</v>
      </c>
    </row>
    <row r="36" spans="1:8" x14ac:dyDescent="0.3">
      <c r="A36" s="14" t="s">
        <v>66</v>
      </c>
      <c r="B36" s="17">
        <v>10.76</v>
      </c>
      <c r="C36" s="17">
        <v>22.67</v>
      </c>
      <c r="D36" s="17">
        <v>12.12</v>
      </c>
      <c r="E36" s="17">
        <v>29.39</v>
      </c>
      <c r="F36" s="17">
        <v>13.07</v>
      </c>
      <c r="G36" s="17">
        <v>26.23</v>
      </c>
      <c r="H36" s="17">
        <v>17.13</v>
      </c>
    </row>
    <row r="37" spans="1:8" x14ac:dyDescent="0.3">
      <c r="A37" s="14" t="s">
        <v>67</v>
      </c>
      <c r="B37" s="17">
        <v>12.17</v>
      </c>
      <c r="C37" s="17">
        <v>17.14</v>
      </c>
      <c r="D37" s="17">
        <v>8.5399999999999991</v>
      </c>
      <c r="E37" s="17">
        <v>27.65</v>
      </c>
      <c r="F37" s="17">
        <v>17.510000000000002</v>
      </c>
      <c r="G37" s="17">
        <v>19.690000000000001</v>
      </c>
      <c r="H37" s="17">
        <v>15.1</v>
      </c>
    </row>
    <row r="38" spans="1:8" x14ac:dyDescent="0.3">
      <c r="A38" s="14" t="s">
        <v>68</v>
      </c>
      <c r="B38" s="17">
        <v>11.36</v>
      </c>
      <c r="C38" s="17">
        <v>18.920000000000002</v>
      </c>
      <c r="D38" s="17">
        <v>9.76</v>
      </c>
      <c r="E38" s="17">
        <v>34.090000000000003</v>
      </c>
      <c r="F38" s="17">
        <v>42.22</v>
      </c>
      <c r="G38" s="17">
        <v>44.74</v>
      </c>
      <c r="H38" s="17">
        <v>60.47</v>
      </c>
    </row>
    <row r="39" spans="1:8" x14ac:dyDescent="0.3">
      <c r="A39" s="14" t="s">
        <v>69</v>
      </c>
      <c r="B39" s="17">
        <v>2.5</v>
      </c>
      <c r="C39" s="17">
        <v>50</v>
      </c>
      <c r="D39" s="17">
        <v>0</v>
      </c>
      <c r="E39" s="17">
        <v>10</v>
      </c>
      <c r="F39" s="17">
        <v>0</v>
      </c>
      <c r="G39" s="17">
        <v>12.5</v>
      </c>
      <c r="H39" s="17">
        <v>20.83</v>
      </c>
    </row>
    <row r="40" spans="1:8" x14ac:dyDescent="0.3">
      <c r="A40" s="14" t="s">
        <v>70</v>
      </c>
      <c r="B40" s="17">
        <v>5.61</v>
      </c>
      <c r="C40" s="17">
        <v>15.3</v>
      </c>
      <c r="D40" s="17">
        <v>11.05</v>
      </c>
      <c r="E40" s="17">
        <v>50.15</v>
      </c>
      <c r="F40" s="17">
        <v>33.86</v>
      </c>
      <c r="G40" s="17">
        <v>18.27</v>
      </c>
      <c r="H40" s="17">
        <v>21.67</v>
      </c>
    </row>
    <row r="41" spans="1:8" x14ac:dyDescent="0.3">
      <c r="A41" s="14" t="s">
        <v>71</v>
      </c>
      <c r="B41" s="17">
        <v>0</v>
      </c>
      <c r="C41" s="17"/>
      <c r="D41" s="17">
        <v>0</v>
      </c>
      <c r="E41" s="17">
        <v>25</v>
      </c>
      <c r="F41" s="17">
        <v>0</v>
      </c>
      <c r="G41" s="17"/>
      <c r="H41" s="17">
        <v>0</v>
      </c>
    </row>
    <row r="42" spans="1:8" x14ac:dyDescent="0.3">
      <c r="A42" s="14" t="s">
        <v>72</v>
      </c>
      <c r="B42" s="17">
        <v>6.17</v>
      </c>
      <c r="C42" s="17">
        <v>10.19</v>
      </c>
      <c r="D42" s="17">
        <v>13.49</v>
      </c>
      <c r="E42" s="17">
        <v>26.87</v>
      </c>
      <c r="F42" s="17">
        <v>23.75</v>
      </c>
      <c r="G42" s="17">
        <v>30.86</v>
      </c>
      <c r="H42" s="17">
        <v>27.72</v>
      </c>
    </row>
    <row r="43" spans="1:8" x14ac:dyDescent="0.3">
      <c r="A43" s="14" t="s">
        <v>73</v>
      </c>
      <c r="B43" s="17">
        <v>5.32</v>
      </c>
      <c r="C43" s="17">
        <v>12.9</v>
      </c>
      <c r="D43" s="17">
        <v>8.73</v>
      </c>
      <c r="E43" s="17">
        <v>27.72</v>
      </c>
      <c r="F43" s="17">
        <v>18.059999999999999</v>
      </c>
      <c r="G43" s="17">
        <v>29.14</v>
      </c>
      <c r="H43" s="17">
        <v>29.21</v>
      </c>
    </row>
    <row r="44" spans="1:8" x14ac:dyDescent="0.3">
      <c r="A44" s="14" t="s">
        <v>74</v>
      </c>
      <c r="B44" s="17">
        <v>5.76</v>
      </c>
      <c r="C44" s="17">
        <v>10.69</v>
      </c>
      <c r="D44" s="17">
        <v>8.8699999999999992</v>
      </c>
      <c r="E44" s="17">
        <v>26.75</v>
      </c>
      <c r="F44" s="17">
        <v>22.75</v>
      </c>
      <c r="G44" s="17">
        <v>25.84</v>
      </c>
      <c r="H44" s="17">
        <v>28.44</v>
      </c>
    </row>
    <row r="46" spans="1:8" x14ac:dyDescent="0.3">
      <c r="B46" s="18" t="s">
        <v>116</v>
      </c>
    </row>
  </sheetData>
  <conditionalFormatting pivot="1" sqref="B35:H44">
    <cfRule type="colorScale" priority="1">
      <colorScale>
        <cfvo type="min"/>
        <cfvo type="percentile" val="50"/>
        <cfvo type="max"/>
        <color rgb="FF63BE7B"/>
        <color rgb="FFFFEB84"/>
        <color rgb="FFF8696B"/>
      </colorScale>
    </cfRule>
  </conditionalFormatting>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014D1-2A82-4DD4-8033-B5C79AB539C2}">
  <dimension ref="A1:H57"/>
  <sheetViews>
    <sheetView zoomScale="93" zoomScaleNormal="93" workbookViewId="0">
      <selection activeCell="I7" sqref="I7"/>
    </sheetView>
  </sheetViews>
  <sheetFormatPr defaultRowHeight="14.4" x14ac:dyDescent="0.3"/>
  <cols>
    <col min="1" max="1" width="7.6640625" bestFit="1" customWidth="1"/>
    <col min="2" max="2" width="16.21875" bestFit="1" customWidth="1"/>
    <col min="3" max="3" width="16.77734375" bestFit="1" customWidth="1"/>
    <col min="4" max="4" width="22.109375" bestFit="1" customWidth="1"/>
    <col min="5" max="5" width="24.109375" bestFit="1" customWidth="1"/>
    <col min="6" max="6" width="16.88671875" bestFit="1" customWidth="1"/>
    <col min="7" max="7" width="19.6640625" bestFit="1" customWidth="1"/>
    <col min="8" max="8" width="11.88671875" bestFit="1" customWidth="1"/>
  </cols>
  <sheetData>
    <row r="1" spans="1:8" x14ac:dyDescent="0.3">
      <c r="A1" t="s">
        <v>0</v>
      </c>
      <c r="B1" t="s">
        <v>1</v>
      </c>
      <c r="C1" t="s">
        <v>2</v>
      </c>
      <c r="D1" t="s">
        <v>3</v>
      </c>
      <c r="E1" t="s">
        <v>4</v>
      </c>
      <c r="F1" t="s">
        <v>5</v>
      </c>
      <c r="G1" t="s">
        <v>6</v>
      </c>
      <c r="H1" t="s">
        <v>7</v>
      </c>
    </row>
    <row r="2" spans="1:8" x14ac:dyDescent="0.3">
      <c r="A2" t="s">
        <v>55</v>
      </c>
      <c r="B2">
        <v>411</v>
      </c>
      <c r="C2">
        <v>264</v>
      </c>
      <c r="D2">
        <v>389</v>
      </c>
      <c r="E2">
        <v>94.65</v>
      </c>
      <c r="F2">
        <v>147</v>
      </c>
      <c r="G2">
        <v>35.770000000000003</v>
      </c>
      <c r="H2">
        <v>3.23</v>
      </c>
    </row>
    <row r="3" spans="1:8" x14ac:dyDescent="0.3">
      <c r="A3" t="s">
        <v>13</v>
      </c>
      <c r="B3">
        <v>343</v>
      </c>
      <c r="C3">
        <v>290</v>
      </c>
      <c r="D3">
        <v>297</v>
      </c>
      <c r="E3">
        <v>86.59</v>
      </c>
      <c r="F3">
        <v>53</v>
      </c>
      <c r="G3">
        <v>15.45</v>
      </c>
      <c r="H3">
        <v>2.84</v>
      </c>
    </row>
    <row r="4" spans="1:8" x14ac:dyDescent="0.3">
      <c r="A4" t="s">
        <v>18</v>
      </c>
      <c r="B4">
        <v>187</v>
      </c>
      <c r="C4">
        <v>169</v>
      </c>
      <c r="D4">
        <v>181</v>
      </c>
      <c r="E4">
        <v>96.79</v>
      </c>
      <c r="F4">
        <v>18</v>
      </c>
      <c r="G4">
        <v>9.6300000000000008</v>
      </c>
      <c r="H4">
        <v>2.66</v>
      </c>
    </row>
    <row r="5" spans="1:8" x14ac:dyDescent="0.3">
      <c r="A5" t="s">
        <v>24</v>
      </c>
      <c r="B5">
        <v>180</v>
      </c>
      <c r="C5">
        <v>159</v>
      </c>
      <c r="D5">
        <v>169</v>
      </c>
      <c r="E5">
        <v>93.89</v>
      </c>
      <c r="F5">
        <v>21</v>
      </c>
      <c r="G5">
        <v>11.67</v>
      </c>
      <c r="H5">
        <v>3.13</v>
      </c>
    </row>
    <row r="6" spans="1:8" x14ac:dyDescent="0.3">
      <c r="A6" t="s">
        <v>45</v>
      </c>
      <c r="B6">
        <v>171</v>
      </c>
      <c r="C6">
        <v>153</v>
      </c>
      <c r="D6">
        <v>161</v>
      </c>
      <c r="E6">
        <v>94.15</v>
      </c>
      <c r="F6">
        <v>18</v>
      </c>
      <c r="G6">
        <v>10.53</v>
      </c>
      <c r="H6">
        <v>2.3199999999999998</v>
      </c>
    </row>
    <row r="7" spans="1:8" x14ac:dyDescent="0.3">
      <c r="A7" t="s">
        <v>49</v>
      </c>
      <c r="B7">
        <v>171</v>
      </c>
      <c r="C7">
        <v>147</v>
      </c>
      <c r="D7">
        <v>153</v>
      </c>
      <c r="E7">
        <v>89.47</v>
      </c>
      <c r="F7">
        <v>24</v>
      </c>
      <c r="G7">
        <v>14.04</v>
      </c>
      <c r="H7">
        <v>3.01</v>
      </c>
    </row>
    <row r="8" spans="1:8" x14ac:dyDescent="0.3">
      <c r="A8" t="s">
        <v>46</v>
      </c>
      <c r="B8">
        <v>168</v>
      </c>
      <c r="C8">
        <v>140</v>
      </c>
      <c r="D8">
        <v>150</v>
      </c>
      <c r="E8">
        <v>89.29</v>
      </c>
      <c r="F8">
        <v>28</v>
      </c>
      <c r="G8">
        <v>16.670000000000002</v>
      </c>
      <c r="H8">
        <v>3.38</v>
      </c>
    </row>
    <row r="9" spans="1:8" x14ac:dyDescent="0.3">
      <c r="A9" t="s">
        <v>26</v>
      </c>
      <c r="B9">
        <v>137</v>
      </c>
      <c r="C9">
        <v>58</v>
      </c>
      <c r="D9">
        <v>120</v>
      </c>
      <c r="E9">
        <v>87.59</v>
      </c>
      <c r="F9">
        <v>79</v>
      </c>
      <c r="G9">
        <v>57.66</v>
      </c>
      <c r="H9">
        <v>3.34</v>
      </c>
    </row>
    <row r="10" spans="1:8" x14ac:dyDescent="0.3">
      <c r="A10" t="s">
        <v>19</v>
      </c>
      <c r="B10">
        <v>133</v>
      </c>
      <c r="C10">
        <v>108</v>
      </c>
      <c r="D10">
        <v>129</v>
      </c>
      <c r="E10">
        <v>96.99</v>
      </c>
      <c r="F10">
        <v>25</v>
      </c>
      <c r="G10">
        <v>18.8</v>
      </c>
      <c r="H10">
        <v>2.94</v>
      </c>
    </row>
    <row r="11" spans="1:8" x14ac:dyDescent="0.3">
      <c r="A11" t="s">
        <v>32</v>
      </c>
      <c r="B11">
        <v>131</v>
      </c>
      <c r="C11">
        <v>115</v>
      </c>
      <c r="D11">
        <v>120</v>
      </c>
      <c r="E11">
        <v>91.6</v>
      </c>
      <c r="F11">
        <v>16</v>
      </c>
      <c r="G11">
        <v>12.21</v>
      </c>
      <c r="H11">
        <v>3.19</v>
      </c>
    </row>
    <row r="12" spans="1:8" x14ac:dyDescent="0.3">
      <c r="A12" t="s">
        <v>33</v>
      </c>
      <c r="B12">
        <v>131</v>
      </c>
      <c r="C12">
        <v>79</v>
      </c>
      <c r="D12">
        <v>122</v>
      </c>
      <c r="E12">
        <v>93.13</v>
      </c>
      <c r="F12">
        <v>52</v>
      </c>
      <c r="G12">
        <v>39.69</v>
      </c>
      <c r="H12">
        <v>3.53</v>
      </c>
    </row>
    <row r="13" spans="1:8" x14ac:dyDescent="0.3">
      <c r="A13" t="s">
        <v>61</v>
      </c>
      <c r="B13">
        <v>126</v>
      </c>
      <c r="C13">
        <v>108</v>
      </c>
      <c r="D13">
        <v>123</v>
      </c>
      <c r="E13">
        <v>97.62</v>
      </c>
      <c r="F13">
        <v>18</v>
      </c>
      <c r="G13">
        <v>14.29</v>
      </c>
      <c r="H13">
        <v>3.61</v>
      </c>
    </row>
    <row r="14" spans="1:8" x14ac:dyDescent="0.3">
      <c r="A14" t="s">
        <v>47</v>
      </c>
      <c r="B14">
        <v>124</v>
      </c>
      <c r="C14">
        <v>81</v>
      </c>
      <c r="D14">
        <v>120</v>
      </c>
      <c r="E14">
        <v>96.77</v>
      </c>
      <c r="F14">
        <v>43</v>
      </c>
      <c r="G14">
        <v>34.68</v>
      </c>
      <c r="H14">
        <v>3.15</v>
      </c>
    </row>
    <row r="15" spans="1:8" x14ac:dyDescent="0.3">
      <c r="A15" t="s">
        <v>28</v>
      </c>
      <c r="B15">
        <v>121</v>
      </c>
      <c r="C15">
        <v>79</v>
      </c>
      <c r="D15">
        <v>101</v>
      </c>
      <c r="E15">
        <v>83.47</v>
      </c>
      <c r="F15">
        <v>42</v>
      </c>
      <c r="G15">
        <v>34.71</v>
      </c>
      <c r="H15">
        <v>3.13</v>
      </c>
    </row>
    <row r="16" spans="1:8" x14ac:dyDescent="0.3">
      <c r="A16" t="s">
        <v>25</v>
      </c>
      <c r="B16">
        <v>120</v>
      </c>
      <c r="C16">
        <v>108</v>
      </c>
      <c r="D16">
        <v>110</v>
      </c>
      <c r="E16">
        <v>91.67</v>
      </c>
      <c r="F16">
        <v>12</v>
      </c>
      <c r="G16">
        <v>10</v>
      </c>
      <c r="H16">
        <v>3.48</v>
      </c>
    </row>
    <row r="17" spans="1:8" x14ac:dyDescent="0.3">
      <c r="A17" t="s">
        <v>22</v>
      </c>
      <c r="B17">
        <v>116</v>
      </c>
      <c r="C17">
        <v>71</v>
      </c>
      <c r="D17">
        <v>116</v>
      </c>
      <c r="E17">
        <v>100</v>
      </c>
      <c r="F17">
        <v>45</v>
      </c>
      <c r="G17">
        <v>38.79</v>
      </c>
      <c r="H17">
        <v>3.39</v>
      </c>
    </row>
    <row r="18" spans="1:8" x14ac:dyDescent="0.3">
      <c r="A18" t="s">
        <v>34</v>
      </c>
      <c r="B18">
        <v>112</v>
      </c>
      <c r="C18">
        <v>86</v>
      </c>
      <c r="D18">
        <v>108</v>
      </c>
      <c r="E18">
        <v>96.43</v>
      </c>
      <c r="F18">
        <v>26</v>
      </c>
      <c r="G18">
        <v>23.21</v>
      </c>
      <c r="H18">
        <v>3.01</v>
      </c>
    </row>
    <row r="19" spans="1:8" x14ac:dyDescent="0.3">
      <c r="A19" t="s">
        <v>38</v>
      </c>
      <c r="B19">
        <v>107</v>
      </c>
      <c r="C19">
        <v>94</v>
      </c>
      <c r="D19">
        <v>103</v>
      </c>
      <c r="E19">
        <v>96.26</v>
      </c>
      <c r="F19">
        <v>13</v>
      </c>
      <c r="G19">
        <v>12.15</v>
      </c>
      <c r="H19">
        <v>3.11</v>
      </c>
    </row>
    <row r="20" spans="1:8" x14ac:dyDescent="0.3">
      <c r="A20" t="s">
        <v>54</v>
      </c>
      <c r="B20">
        <v>107</v>
      </c>
      <c r="C20">
        <v>93</v>
      </c>
      <c r="D20">
        <v>102</v>
      </c>
      <c r="E20">
        <v>95.33</v>
      </c>
      <c r="F20">
        <v>14</v>
      </c>
      <c r="G20">
        <v>13.08</v>
      </c>
      <c r="H20">
        <v>2.87</v>
      </c>
    </row>
    <row r="21" spans="1:8" x14ac:dyDescent="0.3">
      <c r="A21" t="s">
        <v>36</v>
      </c>
      <c r="B21">
        <v>95</v>
      </c>
      <c r="C21">
        <v>63</v>
      </c>
      <c r="D21">
        <v>85</v>
      </c>
      <c r="E21">
        <v>89.47</v>
      </c>
      <c r="F21">
        <v>32</v>
      </c>
      <c r="G21">
        <v>33.68</v>
      </c>
      <c r="H21">
        <v>2.78</v>
      </c>
    </row>
    <row r="22" spans="1:8" x14ac:dyDescent="0.3">
      <c r="A22" t="s">
        <v>27</v>
      </c>
      <c r="B22">
        <v>94</v>
      </c>
      <c r="C22">
        <v>83</v>
      </c>
      <c r="D22">
        <v>92</v>
      </c>
      <c r="E22">
        <v>97.87</v>
      </c>
      <c r="F22">
        <v>11</v>
      </c>
      <c r="G22">
        <v>11.7</v>
      </c>
      <c r="H22">
        <v>2.98</v>
      </c>
    </row>
    <row r="23" spans="1:8" x14ac:dyDescent="0.3">
      <c r="A23" t="s">
        <v>60</v>
      </c>
      <c r="B23">
        <v>91</v>
      </c>
      <c r="C23">
        <v>66</v>
      </c>
      <c r="D23">
        <v>88</v>
      </c>
      <c r="E23">
        <v>96.7</v>
      </c>
      <c r="F23">
        <v>25</v>
      </c>
      <c r="G23">
        <v>27.47</v>
      </c>
      <c r="H23">
        <v>3.02</v>
      </c>
    </row>
    <row r="24" spans="1:8" x14ac:dyDescent="0.3">
      <c r="A24" t="s">
        <v>9</v>
      </c>
      <c r="B24">
        <v>90</v>
      </c>
      <c r="C24">
        <v>79</v>
      </c>
      <c r="D24">
        <v>86</v>
      </c>
      <c r="E24">
        <v>95.56</v>
      </c>
      <c r="F24">
        <v>11</v>
      </c>
      <c r="G24">
        <v>12.22</v>
      </c>
      <c r="H24">
        <v>3.05</v>
      </c>
    </row>
    <row r="25" spans="1:8" x14ac:dyDescent="0.3">
      <c r="A25" t="s">
        <v>40</v>
      </c>
      <c r="B25">
        <v>89</v>
      </c>
      <c r="C25">
        <v>48</v>
      </c>
      <c r="D25">
        <v>83</v>
      </c>
      <c r="E25">
        <v>93.26</v>
      </c>
      <c r="F25">
        <v>41</v>
      </c>
      <c r="G25">
        <v>46.07</v>
      </c>
      <c r="H25">
        <v>3.29</v>
      </c>
    </row>
    <row r="26" spans="1:8" x14ac:dyDescent="0.3">
      <c r="A26" t="s">
        <v>57</v>
      </c>
      <c r="B26">
        <v>86</v>
      </c>
      <c r="C26">
        <v>76</v>
      </c>
      <c r="D26">
        <v>82</v>
      </c>
      <c r="E26">
        <v>95.35</v>
      </c>
      <c r="F26">
        <v>10</v>
      </c>
      <c r="G26">
        <v>11.63</v>
      </c>
      <c r="H26">
        <v>3.01</v>
      </c>
    </row>
    <row r="27" spans="1:8" x14ac:dyDescent="0.3">
      <c r="A27" t="s">
        <v>12</v>
      </c>
      <c r="B27">
        <v>80</v>
      </c>
      <c r="C27">
        <v>54</v>
      </c>
      <c r="D27">
        <v>65</v>
      </c>
      <c r="E27">
        <v>81.25</v>
      </c>
      <c r="F27">
        <v>26</v>
      </c>
      <c r="G27">
        <v>32.5</v>
      </c>
      <c r="H27">
        <v>2.94</v>
      </c>
    </row>
    <row r="28" spans="1:8" x14ac:dyDescent="0.3">
      <c r="A28" t="s">
        <v>14</v>
      </c>
      <c r="B28">
        <v>78</v>
      </c>
      <c r="C28">
        <v>51</v>
      </c>
      <c r="D28">
        <v>75</v>
      </c>
      <c r="E28">
        <v>96.15</v>
      </c>
      <c r="F28">
        <v>27</v>
      </c>
      <c r="G28">
        <v>34.619999999999997</v>
      </c>
      <c r="H28">
        <v>3.45</v>
      </c>
    </row>
    <row r="29" spans="1:8" x14ac:dyDescent="0.3">
      <c r="A29" t="s">
        <v>10</v>
      </c>
      <c r="B29">
        <v>75</v>
      </c>
      <c r="C29">
        <v>55</v>
      </c>
      <c r="D29">
        <v>75</v>
      </c>
      <c r="E29">
        <v>100</v>
      </c>
      <c r="F29">
        <v>20</v>
      </c>
      <c r="G29">
        <v>26.67</v>
      </c>
      <c r="H29">
        <v>2.84</v>
      </c>
    </row>
    <row r="30" spans="1:8" x14ac:dyDescent="0.3">
      <c r="A30" t="s">
        <v>42</v>
      </c>
      <c r="B30">
        <v>66</v>
      </c>
      <c r="C30">
        <v>64</v>
      </c>
      <c r="D30">
        <v>63</v>
      </c>
      <c r="E30">
        <v>95.45</v>
      </c>
      <c r="F30">
        <v>2</v>
      </c>
      <c r="G30">
        <v>3.03</v>
      </c>
      <c r="H30">
        <v>2.5499999999999998</v>
      </c>
    </row>
    <row r="31" spans="1:8" x14ac:dyDescent="0.3">
      <c r="A31" t="s">
        <v>29</v>
      </c>
      <c r="B31">
        <v>64</v>
      </c>
      <c r="C31">
        <v>57</v>
      </c>
      <c r="D31">
        <v>59</v>
      </c>
      <c r="E31">
        <v>92.19</v>
      </c>
      <c r="F31">
        <v>7</v>
      </c>
      <c r="G31">
        <v>10.94</v>
      </c>
      <c r="H31">
        <v>3.19</v>
      </c>
    </row>
    <row r="32" spans="1:8" x14ac:dyDescent="0.3">
      <c r="A32" t="s">
        <v>37</v>
      </c>
      <c r="B32">
        <v>62</v>
      </c>
      <c r="C32">
        <v>23</v>
      </c>
      <c r="D32">
        <v>61</v>
      </c>
      <c r="E32">
        <v>98.39</v>
      </c>
      <c r="F32">
        <v>39</v>
      </c>
      <c r="G32">
        <v>62.9</v>
      </c>
      <c r="H32">
        <v>3.35</v>
      </c>
    </row>
    <row r="33" spans="1:8" x14ac:dyDescent="0.3">
      <c r="A33" t="s">
        <v>48</v>
      </c>
      <c r="B33">
        <v>60</v>
      </c>
      <c r="C33">
        <v>52</v>
      </c>
      <c r="D33">
        <v>59</v>
      </c>
      <c r="E33">
        <v>98.33</v>
      </c>
      <c r="F33">
        <v>8</v>
      </c>
      <c r="G33">
        <v>13.33</v>
      </c>
      <c r="H33">
        <v>3.15</v>
      </c>
    </row>
    <row r="34" spans="1:8" x14ac:dyDescent="0.3">
      <c r="A34" t="s">
        <v>52</v>
      </c>
      <c r="B34">
        <v>60</v>
      </c>
      <c r="C34">
        <v>52</v>
      </c>
      <c r="D34">
        <v>57</v>
      </c>
      <c r="E34">
        <v>95</v>
      </c>
      <c r="F34">
        <v>8</v>
      </c>
      <c r="G34">
        <v>13.33</v>
      </c>
      <c r="H34">
        <v>3.19</v>
      </c>
    </row>
    <row r="35" spans="1:8" x14ac:dyDescent="0.3">
      <c r="A35" t="s">
        <v>53</v>
      </c>
      <c r="B35">
        <v>60</v>
      </c>
      <c r="C35">
        <v>14</v>
      </c>
      <c r="D35">
        <v>53</v>
      </c>
      <c r="E35">
        <v>88.33</v>
      </c>
      <c r="F35">
        <v>46</v>
      </c>
      <c r="G35">
        <v>76.67</v>
      </c>
      <c r="H35">
        <v>3.86</v>
      </c>
    </row>
    <row r="36" spans="1:8" x14ac:dyDescent="0.3">
      <c r="A36" t="s">
        <v>50</v>
      </c>
      <c r="B36">
        <v>52</v>
      </c>
      <c r="C36">
        <v>9</v>
      </c>
      <c r="D36">
        <v>50</v>
      </c>
      <c r="E36">
        <v>96.15</v>
      </c>
      <c r="F36">
        <v>43</v>
      </c>
      <c r="G36">
        <v>82.69</v>
      </c>
      <c r="H36">
        <v>2.11</v>
      </c>
    </row>
    <row r="37" spans="1:8" x14ac:dyDescent="0.3">
      <c r="A37" t="s">
        <v>30</v>
      </c>
      <c r="B37">
        <v>49</v>
      </c>
      <c r="C37">
        <v>0</v>
      </c>
      <c r="D37">
        <v>45</v>
      </c>
      <c r="E37">
        <v>91.84</v>
      </c>
      <c r="F37">
        <v>49</v>
      </c>
      <c r="G37">
        <v>100</v>
      </c>
    </row>
    <row r="38" spans="1:8" x14ac:dyDescent="0.3">
      <c r="A38" t="s">
        <v>62</v>
      </c>
      <c r="B38">
        <v>49</v>
      </c>
      <c r="C38">
        <v>37</v>
      </c>
      <c r="D38">
        <v>48</v>
      </c>
      <c r="E38">
        <v>97.96</v>
      </c>
      <c r="F38">
        <v>12</v>
      </c>
      <c r="G38">
        <v>24.49</v>
      </c>
      <c r="H38">
        <v>2.76</v>
      </c>
    </row>
    <row r="39" spans="1:8" x14ac:dyDescent="0.3">
      <c r="A39" t="s">
        <v>56</v>
      </c>
      <c r="B39">
        <v>46</v>
      </c>
      <c r="C39">
        <v>29</v>
      </c>
      <c r="D39">
        <v>43</v>
      </c>
      <c r="E39">
        <v>93.48</v>
      </c>
      <c r="F39">
        <v>17</v>
      </c>
      <c r="G39">
        <v>36.96</v>
      </c>
      <c r="H39">
        <v>3.45</v>
      </c>
    </row>
    <row r="40" spans="1:8" x14ac:dyDescent="0.3">
      <c r="A40" t="s">
        <v>39</v>
      </c>
      <c r="B40">
        <v>44</v>
      </c>
      <c r="C40">
        <v>16</v>
      </c>
      <c r="D40">
        <v>44</v>
      </c>
      <c r="E40">
        <v>100</v>
      </c>
      <c r="F40">
        <v>28</v>
      </c>
      <c r="G40">
        <v>63.64</v>
      </c>
      <c r="H40">
        <v>3.19</v>
      </c>
    </row>
    <row r="41" spans="1:8" x14ac:dyDescent="0.3">
      <c r="A41" t="s">
        <v>23</v>
      </c>
      <c r="B41">
        <v>41</v>
      </c>
      <c r="C41">
        <v>19</v>
      </c>
      <c r="D41">
        <v>37</v>
      </c>
      <c r="E41">
        <v>90.24</v>
      </c>
      <c r="F41">
        <v>22</v>
      </c>
      <c r="G41">
        <v>53.66</v>
      </c>
      <c r="H41">
        <v>3.53</v>
      </c>
    </row>
    <row r="42" spans="1:8" x14ac:dyDescent="0.3">
      <c r="A42" t="s">
        <v>43</v>
      </c>
      <c r="B42">
        <v>41</v>
      </c>
      <c r="C42">
        <v>31</v>
      </c>
      <c r="D42">
        <v>38</v>
      </c>
      <c r="E42">
        <v>92.68</v>
      </c>
      <c r="F42">
        <v>10</v>
      </c>
      <c r="G42">
        <v>24.39</v>
      </c>
      <c r="H42">
        <v>2.71</v>
      </c>
    </row>
    <row r="43" spans="1:8" x14ac:dyDescent="0.3">
      <c r="A43" t="s">
        <v>44</v>
      </c>
      <c r="B43">
        <v>35</v>
      </c>
      <c r="C43">
        <v>25</v>
      </c>
      <c r="D43">
        <v>33</v>
      </c>
      <c r="E43">
        <v>94.29</v>
      </c>
      <c r="F43">
        <v>10</v>
      </c>
      <c r="G43">
        <v>28.57</v>
      </c>
      <c r="H43">
        <v>2.4</v>
      </c>
    </row>
    <row r="44" spans="1:8" x14ac:dyDescent="0.3">
      <c r="A44" t="s">
        <v>31</v>
      </c>
      <c r="B44">
        <v>33</v>
      </c>
      <c r="C44">
        <v>32</v>
      </c>
      <c r="D44">
        <v>32</v>
      </c>
      <c r="E44">
        <v>96.97</v>
      </c>
      <c r="F44">
        <v>1</v>
      </c>
      <c r="G44">
        <v>3.03</v>
      </c>
      <c r="H44">
        <v>3.44</v>
      </c>
    </row>
    <row r="45" spans="1:8" x14ac:dyDescent="0.3">
      <c r="A45" t="s">
        <v>15</v>
      </c>
      <c r="B45">
        <v>31</v>
      </c>
      <c r="C45">
        <v>28</v>
      </c>
      <c r="D45">
        <v>28</v>
      </c>
      <c r="E45">
        <v>90.32</v>
      </c>
      <c r="F45">
        <v>3</v>
      </c>
      <c r="G45">
        <v>9.68</v>
      </c>
      <c r="H45">
        <v>2.71</v>
      </c>
    </row>
    <row r="46" spans="1:8" x14ac:dyDescent="0.3">
      <c r="A46" t="s">
        <v>63</v>
      </c>
      <c r="B46">
        <v>28</v>
      </c>
      <c r="C46">
        <v>16</v>
      </c>
      <c r="D46">
        <v>26</v>
      </c>
      <c r="E46">
        <v>92.86</v>
      </c>
      <c r="F46">
        <v>12</v>
      </c>
      <c r="G46">
        <v>42.86</v>
      </c>
      <c r="H46">
        <v>3</v>
      </c>
    </row>
    <row r="47" spans="1:8" x14ac:dyDescent="0.3">
      <c r="A47" t="s">
        <v>41</v>
      </c>
      <c r="B47">
        <v>26</v>
      </c>
      <c r="C47">
        <v>25</v>
      </c>
      <c r="D47">
        <v>26</v>
      </c>
      <c r="E47">
        <v>100</v>
      </c>
      <c r="F47">
        <v>1</v>
      </c>
      <c r="G47">
        <v>3.85</v>
      </c>
      <c r="H47">
        <v>3.48</v>
      </c>
    </row>
    <row r="48" spans="1:8" x14ac:dyDescent="0.3">
      <c r="A48" t="s">
        <v>21</v>
      </c>
      <c r="B48">
        <v>23</v>
      </c>
      <c r="C48">
        <v>13</v>
      </c>
      <c r="D48">
        <v>22</v>
      </c>
      <c r="E48">
        <v>95.65</v>
      </c>
      <c r="F48">
        <v>10</v>
      </c>
      <c r="G48">
        <v>43.48</v>
      </c>
      <c r="H48">
        <v>3.31</v>
      </c>
    </row>
    <row r="49" spans="1:8" x14ac:dyDescent="0.3">
      <c r="A49" t="s">
        <v>8</v>
      </c>
      <c r="B49">
        <v>22</v>
      </c>
      <c r="C49">
        <v>9</v>
      </c>
      <c r="D49">
        <v>22</v>
      </c>
      <c r="E49">
        <v>100</v>
      </c>
      <c r="F49">
        <v>13</v>
      </c>
      <c r="G49">
        <v>59.09</v>
      </c>
      <c r="H49">
        <v>2.89</v>
      </c>
    </row>
    <row r="50" spans="1:8" x14ac:dyDescent="0.3">
      <c r="A50" t="s">
        <v>59</v>
      </c>
      <c r="B50">
        <v>14</v>
      </c>
      <c r="C50">
        <v>12</v>
      </c>
      <c r="D50">
        <v>14</v>
      </c>
      <c r="E50">
        <v>100</v>
      </c>
      <c r="F50">
        <v>2</v>
      </c>
      <c r="G50">
        <v>14.29</v>
      </c>
      <c r="H50">
        <v>3.25</v>
      </c>
    </row>
    <row r="51" spans="1:8" x14ac:dyDescent="0.3">
      <c r="A51" t="s">
        <v>51</v>
      </c>
      <c r="B51">
        <v>11</v>
      </c>
      <c r="C51">
        <v>11</v>
      </c>
      <c r="D51">
        <v>11</v>
      </c>
      <c r="E51">
        <v>100</v>
      </c>
      <c r="F51">
        <v>0</v>
      </c>
      <c r="G51">
        <v>0</v>
      </c>
      <c r="H51">
        <v>3.27</v>
      </c>
    </row>
    <row r="52" spans="1:8" x14ac:dyDescent="0.3">
      <c r="A52" t="s">
        <v>16</v>
      </c>
      <c r="B52">
        <v>8</v>
      </c>
      <c r="C52">
        <v>7</v>
      </c>
      <c r="D52">
        <v>8</v>
      </c>
      <c r="E52">
        <v>100</v>
      </c>
      <c r="F52">
        <v>1</v>
      </c>
      <c r="G52">
        <v>12.5</v>
      </c>
      <c r="H52">
        <v>1.43</v>
      </c>
    </row>
    <row r="53" spans="1:8" x14ac:dyDescent="0.3">
      <c r="A53" t="s">
        <v>17</v>
      </c>
      <c r="B53">
        <v>7</v>
      </c>
      <c r="C53">
        <v>6</v>
      </c>
      <c r="D53">
        <v>7</v>
      </c>
      <c r="E53">
        <v>100</v>
      </c>
      <c r="F53">
        <v>1</v>
      </c>
      <c r="G53">
        <v>14.29</v>
      </c>
      <c r="H53">
        <v>3.67</v>
      </c>
    </row>
    <row r="54" spans="1:8" x14ac:dyDescent="0.3">
      <c r="A54" t="s">
        <v>20</v>
      </c>
      <c r="B54">
        <v>2</v>
      </c>
      <c r="C54">
        <v>1</v>
      </c>
      <c r="D54">
        <v>2</v>
      </c>
      <c r="E54">
        <v>100</v>
      </c>
      <c r="F54">
        <v>1</v>
      </c>
      <c r="G54">
        <v>50</v>
      </c>
      <c r="H54">
        <v>3</v>
      </c>
    </row>
    <row r="55" spans="1:8" x14ac:dyDescent="0.3">
      <c r="A55" t="s">
        <v>58</v>
      </c>
      <c r="B55">
        <v>2</v>
      </c>
      <c r="C55">
        <v>2</v>
      </c>
      <c r="D55">
        <v>2</v>
      </c>
      <c r="E55">
        <v>100</v>
      </c>
      <c r="F55">
        <v>0</v>
      </c>
      <c r="G55">
        <v>0</v>
      </c>
      <c r="H55">
        <v>2</v>
      </c>
    </row>
    <row r="56" spans="1:8" x14ac:dyDescent="0.3">
      <c r="A56" t="s">
        <v>11</v>
      </c>
      <c r="B56">
        <v>1</v>
      </c>
      <c r="C56">
        <v>0</v>
      </c>
      <c r="D56">
        <v>1</v>
      </c>
      <c r="E56">
        <v>100</v>
      </c>
      <c r="F56">
        <v>1</v>
      </c>
      <c r="G56">
        <v>100</v>
      </c>
    </row>
    <row r="57" spans="1:8" x14ac:dyDescent="0.3">
      <c r="A57" t="s">
        <v>35</v>
      </c>
      <c r="B57">
        <v>1</v>
      </c>
      <c r="C57">
        <v>0</v>
      </c>
      <c r="D57">
        <v>1</v>
      </c>
      <c r="E57">
        <v>100</v>
      </c>
      <c r="F57">
        <v>1</v>
      </c>
      <c r="G57">
        <v>100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1D047-016E-4D09-91C4-0DEEB9414530}">
  <dimension ref="A1:G54"/>
  <sheetViews>
    <sheetView topLeftCell="A19" workbookViewId="0">
      <selection activeCell="J12" sqref="J12"/>
    </sheetView>
  </sheetViews>
  <sheetFormatPr defaultRowHeight="14.4" x14ac:dyDescent="0.3"/>
  <cols>
    <col min="1" max="1" width="7.6640625" bestFit="1" customWidth="1"/>
    <col min="2" max="2" width="16.21875" bestFit="1" customWidth="1"/>
    <col min="3" max="3" width="16.77734375" bestFit="1" customWidth="1"/>
    <col min="4" max="4" width="11.88671875" bestFit="1" customWidth="1"/>
    <col min="5" max="5" width="20.77734375" bestFit="1" customWidth="1"/>
    <col min="6" max="6" width="16.33203125" bestFit="1" customWidth="1"/>
    <col min="7" max="7" width="30.109375" bestFit="1" customWidth="1"/>
  </cols>
  <sheetData>
    <row r="1" spans="1:7" x14ac:dyDescent="0.3">
      <c r="A1" t="s">
        <v>0</v>
      </c>
      <c r="B1" t="s">
        <v>1</v>
      </c>
      <c r="C1" t="s">
        <v>2</v>
      </c>
      <c r="D1" t="s">
        <v>7</v>
      </c>
      <c r="E1" t="s">
        <v>75</v>
      </c>
      <c r="F1" t="s">
        <v>76</v>
      </c>
      <c r="G1" t="s">
        <v>77</v>
      </c>
    </row>
    <row r="2" spans="1:7" x14ac:dyDescent="0.3">
      <c r="A2" t="s">
        <v>55</v>
      </c>
      <c r="B2">
        <v>411</v>
      </c>
      <c r="C2">
        <v>264</v>
      </c>
      <c r="D2">
        <v>3.23</v>
      </c>
      <c r="E2">
        <v>64.23</v>
      </c>
      <c r="F2">
        <v>0.93</v>
      </c>
      <c r="G2">
        <v>3</v>
      </c>
    </row>
    <row r="3" spans="1:7" x14ac:dyDescent="0.3">
      <c r="A3" t="s">
        <v>13</v>
      </c>
      <c r="B3">
        <v>343</v>
      </c>
      <c r="C3">
        <v>290</v>
      </c>
      <c r="D3">
        <v>2.84</v>
      </c>
      <c r="E3">
        <v>84.55</v>
      </c>
      <c r="F3">
        <v>0.93500000000000005</v>
      </c>
      <c r="G3">
        <v>2.66</v>
      </c>
    </row>
    <row r="4" spans="1:7" x14ac:dyDescent="0.3">
      <c r="A4" t="s">
        <v>18</v>
      </c>
      <c r="B4">
        <v>187</v>
      </c>
      <c r="C4">
        <v>169</v>
      </c>
      <c r="D4">
        <v>2.66</v>
      </c>
      <c r="E4">
        <v>90.37</v>
      </c>
      <c r="F4">
        <v>0.89400000000000002</v>
      </c>
      <c r="G4">
        <v>2.38</v>
      </c>
    </row>
    <row r="5" spans="1:7" x14ac:dyDescent="0.3">
      <c r="A5" t="s">
        <v>24</v>
      </c>
      <c r="B5">
        <v>180</v>
      </c>
      <c r="C5">
        <v>159</v>
      </c>
      <c r="D5">
        <v>3.13</v>
      </c>
      <c r="E5">
        <v>88.33</v>
      </c>
      <c r="F5">
        <v>0.88800000000000001</v>
      </c>
      <c r="G5">
        <v>2.78</v>
      </c>
    </row>
    <row r="6" spans="1:7" x14ac:dyDescent="0.3">
      <c r="A6" t="s">
        <v>45</v>
      </c>
      <c r="B6">
        <v>171</v>
      </c>
      <c r="C6">
        <v>153</v>
      </c>
      <c r="D6">
        <v>2.3199999999999998</v>
      </c>
      <c r="E6">
        <v>89.47</v>
      </c>
      <c r="F6">
        <v>0.88400000000000001</v>
      </c>
      <c r="G6">
        <v>2.0499999999999998</v>
      </c>
    </row>
    <row r="7" spans="1:7" x14ac:dyDescent="0.3">
      <c r="A7" t="s">
        <v>49</v>
      </c>
      <c r="B7">
        <v>171</v>
      </c>
      <c r="C7">
        <v>147</v>
      </c>
      <c r="D7">
        <v>3.01</v>
      </c>
      <c r="E7">
        <v>85.96</v>
      </c>
      <c r="F7">
        <v>0.88</v>
      </c>
      <c r="G7">
        <v>2.65</v>
      </c>
    </row>
    <row r="8" spans="1:7" x14ac:dyDescent="0.3">
      <c r="A8" t="s">
        <v>46</v>
      </c>
      <c r="B8">
        <v>168</v>
      </c>
      <c r="C8">
        <v>140</v>
      </c>
      <c r="D8">
        <v>3.38</v>
      </c>
      <c r="E8">
        <v>83.33</v>
      </c>
      <c r="F8">
        <v>0.875</v>
      </c>
      <c r="G8">
        <v>2.96</v>
      </c>
    </row>
    <row r="9" spans="1:7" x14ac:dyDescent="0.3">
      <c r="A9" t="s">
        <v>26</v>
      </c>
      <c r="B9">
        <v>137</v>
      </c>
      <c r="C9">
        <v>58</v>
      </c>
      <c r="D9">
        <v>3.34</v>
      </c>
      <c r="E9">
        <v>42.34</v>
      </c>
      <c r="F9">
        <v>0.74399999999999999</v>
      </c>
      <c r="G9">
        <v>2.48</v>
      </c>
    </row>
    <row r="10" spans="1:7" x14ac:dyDescent="0.3">
      <c r="A10" t="s">
        <v>19</v>
      </c>
      <c r="B10">
        <v>133</v>
      </c>
      <c r="C10">
        <v>108</v>
      </c>
      <c r="D10">
        <v>2.94</v>
      </c>
      <c r="E10">
        <v>81.2</v>
      </c>
      <c r="F10">
        <v>0.84399999999999997</v>
      </c>
      <c r="G10">
        <v>2.48</v>
      </c>
    </row>
    <row r="11" spans="1:7" x14ac:dyDescent="0.3">
      <c r="A11" t="s">
        <v>32</v>
      </c>
      <c r="B11">
        <v>131</v>
      </c>
      <c r="C11">
        <v>115</v>
      </c>
      <c r="D11">
        <v>3.19</v>
      </c>
      <c r="E11">
        <v>87.79</v>
      </c>
      <c r="F11">
        <v>0.85199999999999998</v>
      </c>
      <c r="G11">
        <v>2.72</v>
      </c>
    </row>
    <row r="12" spans="1:7" x14ac:dyDescent="0.3">
      <c r="A12" t="s">
        <v>33</v>
      </c>
      <c r="B12">
        <v>131</v>
      </c>
      <c r="C12">
        <v>79</v>
      </c>
      <c r="D12">
        <v>3.53</v>
      </c>
      <c r="E12">
        <v>60.31</v>
      </c>
      <c r="F12">
        <v>0.79800000000000004</v>
      </c>
      <c r="G12">
        <v>2.82</v>
      </c>
    </row>
    <row r="13" spans="1:7" x14ac:dyDescent="0.3">
      <c r="A13" t="s">
        <v>61</v>
      </c>
      <c r="B13">
        <v>126</v>
      </c>
      <c r="C13">
        <v>108</v>
      </c>
      <c r="D13">
        <v>3.61</v>
      </c>
      <c r="E13">
        <v>85.71</v>
      </c>
      <c r="F13">
        <v>0.84399999999999997</v>
      </c>
      <c r="G13">
        <v>3.05</v>
      </c>
    </row>
    <row r="14" spans="1:7" x14ac:dyDescent="0.3">
      <c r="A14" t="s">
        <v>47</v>
      </c>
      <c r="B14">
        <v>124</v>
      </c>
      <c r="C14">
        <v>81</v>
      </c>
      <c r="D14">
        <v>3.15</v>
      </c>
      <c r="E14">
        <v>65.319999999999993</v>
      </c>
      <c r="F14">
        <v>0.80200000000000005</v>
      </c>
      <c r="G14">
        <v>2.5299999999999998</v>
      </c>
    </row>
    <row r="15" spans="1:7" x14ac:dyDescent="0.3">
      <c r="A15" t="s">
        <v>28</v>
      </c>
      <c r="B15">
        <v>121</v>
      </c>
      <c r="C15">
        <v>79</v>
      </c>
      <c r="D15">
        <v>3.13</v>
      </c>
      <c r="E15">
        <v>65.290000000000006</v>
      </c>
      <c r="F15">
        <v>0.79800000000000004</v>
      </c>
      <c r="G15">
        <v>2.5</v>
      </c>
    </row>
    <row r="16" spans="1:7" x14ac:dyDescent="0.3">
      <c r="A16" t="s">
        <v>25</v>
      </c>
      <c r="B16">
        <v>120</v>
      </c>
      <c r="C16">
        <v>108</v>
      </c>
      <c r="D16">
        <v>3.48</v>
      </c>
      <c r="E16">
        <v>90</v>
      </c>
      <c r="F16">
        <v>0.84399999999999997</v>
      </c>
      <c r="G16">
        <v>2.94</v>
      </c>
    </row>
    <row r="17" spans="1:7" x14ac:dyDescent="0.3">
      <c r="A17" t="s">
        <v>22</v>
      </c>
      <c r="B17">
        <v>116</v>
      </c>
      <c r="C17">
        <v>71</v>
      </c>
      <c r="D17">
        <v>3.39</v>
      </c>
      <c r="E17">
        <v>61.21</v>
      </c>
      <c r="F17">
        <v>0.78</v>
      </c>
      <c r="G17">
        <v>2.64</v>
      </c>
    </row>
    <row r="18" spans="1:7" x14ac:dyDescent="0.3">
      <c r="A18" t="s">
        <v>34</v>
      </c>
      <c r="B18">
        <v>112</v>
      </c>
      <c r="C18">
        <v>86</v>
      </c>
      <c r="D18">
        <v>3.01</v>
      </c>
      <c r="E18">
        <v>76.790000000000006</v>
      </c>
      <c r="F18">
        <v>0.81100000000000005</v>
      </c>
      <c r="G18">
        <v>2.44</v>
      </c>
    </row>
    <row r="19" spans="1:7" x14ac:dyDescent="0.3">
      <c r="A19" t="s">
        <v>38</v>
      </c>
      <c r="B19">
        <v>107</v>
      </c>
      <c r="C19">
        <v>94</v>
      </c>
      <c r="D19">
        <v>3.11</v>
      </c>
      <c r="E19">
        <v>87.85</v>
      </c>
      <c r="F19">
        <v>0.82499999999999996</v>
      </c>
      <c r="G19">
        <v>2.56</v>
      </c>
    </row>
    <row r="20" spans="1:7" x14ac:dyDescent="0.3">
      <c r="A20" t="s">
        <v>54</v>
      </c>
      <c r="B20">
        <v>107</v>
      </c>
      <c r="C20">
        <v>93</v>
      </c>
      <c r="D20">
        <v>2.87</v>
      </c>
      <c r="E20">
        <v>86.92</v>
      </c>
      <c r="F20">
        <v>0.82299999999999995</v>
      </c>
      <c r="G20">
        <v>2.36</v>
      </c>
    </row>
    <row r="21" spans="1:7" x14ac:dyDescent="0.3">
      <c r="A21" t="s">
        <v>36</v>
      </c>
      <c r="B21">
        <v>95</v>
      </c>
      <c r="C21">
        <v>63</v>
      </c>
      <c r="D21">
        <v>2.78</v>
      </c>
      <c r="E21">
        <v>66.319999999999993</v>
      </c>
      <c r="F21">
        <v>0.75900000000000001</v>
      </c>
      <c r="G21">
        <v>2.11</v>
      </c>
    </row>
    <row r="22" spans="1:7" x14ac:dyDescent="0.3">
      <c r="A22" t="s">
        <v>27</v>
      </c>
      <c r="B22">
        <v>94</v>
      </c>
      <c r="C22">
        <v>83</v>
      </c>
      <c r="D22">
        <v>2.98</v>
      </c>
      <c r="E22">
        <v>88.3</v>
      </c>
      <c r="F22">
        <v>0.80600000000000005</v>
      </c>
      <c r="G22">
        <v>2.4</v>
      </c>
    </row>
    <row r="23" spans="1:7" x14ac:dyDescent="0.3">
      <c r="A23" t="s">
        <v>60</v>
      </c>
      <c r="B23">
        <v>91</v>
      </c>
      <c r="C23">
        <v>66</v>
      </c>
      <c r="D23">
        <v>3.02</v>
      </c>
      <c r="E23">
        <v>72.53</v>
      </c>
      <c r="F23">
        <v>0.76700000000000002</v>
      </c>
      <c r="G23">
        <v>2.3199999999999998</v>
      </c>
    </row>
    <row r="24" spans="1:7" x14ac:dyDescent="0.3">
      <c r="A24" t="s">
        <v>9</v>
      </c>
      <c r="B24">
        <v>90</v>
      </c>
      <c r="C24">
        <v>79</v>
      </c>
      <c r="D24">
        <v>3.05</v>
      </c>
      <c r="E24">
        <v>87.78</v>
      </c>
      <c r="F24">
        <v>0.79800000000000004</v>
      </c>
      <c r="G24">
        <v>2.4300000000000002</v>
      </c>
    </row>
    <row r="25" spans="1:7" x14ac:dyDescent="0.3">
      <c r="A25" t="s">
        <v>40</v>
      </c>
      <c r="B25">
        <v>89</v>
      </c>
      <c r="C25">
        <v>48</v>
      </c>
      <c r="D25">
        <v>3.29</v>
      </c>
      <c r="E25">
        <v>53.93</v>
      </c>
      <c r="F25">
        <v>0.70599999999999996</v>
      </c>
      <c r="G25">
        <v>2.3199999999999998</v>
      </c>
    </row>
    <row r="26" spans="1:7" x14ac:dyDescent="0.3">
      <c r="A26" t="s">
        <v>57</v>
      </c>
      <c r="B26">
        <v>86</v>
      </c>
      <c r="C26">
        <v>76</v>
      </c>
      <c r="D26">
        <v>3.01</v>
      </c>
      <c r="E26">
        <v>88.37</v>
      </c>
      <c r="F26">
        <v>0.79200000000000004</v>
      </c>
      <c r="G26">
        <v>2.38</v>
      </c>
    </row>
    <row r="27" spans="1:7" x14ac:dyDescent="0.3">
      <c r="A27" t="s">
        <v>12</v>
      </c>
      <c r="B27">
        <v>80</v>
      </c>
      <c r="C27">
        <v>54</v>
      </c>
      <c r="D27">
        <v>2.94</v>
      </c>
      <c r="E27">
        <v>67.5</v>
      </c>
      <c r="F27">
        <v>0.73</v>
      </c>
      <c r="G27">
        <v>2.15</v>
      </c>
    </row>
    <row r="28" spans="1:7" x14ac:dyDescent="0.3">
      <c r="A28" t="s">
        <v>14</v>
      </c>
      <c r="B28">
        <v>78</v>
      </c>
      <c r="C28">
        <v>51</v>
      </c>
      <c r="D28">
        <v>3.45</v>
      </c>
      <c r="E28">
        <v>65.38</v>
      </c>
      <c r="F28">
        <v>0.71799999999999997</v>
      </c>
      <c r="G28">
        <v>2.48</v>
      </c>
    </row>
    <row r="29" spans="1:7" x14ac:dyDescent="0.3">
      <c r="A29" t="s">
        <v>10</v>
      </c>
      <c r="B29">
        <v>75</v>
      </c>
      <c r="C29">
        <v>55</v>
      </c>
      <c r="D29">
        <v>2.84</v>
      </c>
      <c r="E29">
        <v>73.33</v>
      </c>
      <c r="F29">
        <v>0.73299999999999998</v>
      </c>
      <c r="G29">
        <v>2.08</v>
      </c>
    </row>
    <row r="30" spans="1:7" x14ac:dyDescent="0.3">
      <c r="A30" t="s">
        <v>42</v>
      </c>
      <c r="B30">
        <v>66</v>
      </c>
      <c r="C30">
        <v>64</v>
      </c>
      <c r="D30">
        <v>2.5499999999999998</v>
      </c>
      <c r="E30">
        <v>96.97</v>
      </c>
      <c r="F30">
        <v>0.76200000000000001</v>
      </c>
      <c r="G30">
        <v>1.94</v>
      </c>
    </row>
    <row r="31" spans="1:7" x14ac:dyDescent="0.3">
      <c r="A31" t="s">
        <v>29</v>
      </c>
      <c r="B31">
        <v>64</v>
      </c>
      <c r="C31">
        <v>57</v>
      </c>
      <c r="D31">
        <v>3.19</v>
      </c>
      <c r="E31">
        <v>89.06</v>
      </c>
      <c r="F31">
        <v>0.74</v>
      </c>
      <c r="G31">
        <v>2.36</v>
      </c>
    </row>
    <row r="32" spans="1:7" x14ac:dyDescent="0.3">
      <c r="A32" t="s">
        <v>37</v>
      </c>
      <c r="B32">
        <v>62</v>
      </c>
      <c r="C32">
        <v>23</v>
      </c>
      <c r="D32">
        <v>3.35</v>
      </c>
      <c r="E32">
        <v>37.1</v>
      </c>
      <c r="F32">
        <v>0.53500000000000003</v>
      </c>
      <c r="G32">
        <v>1.79</v>
      </c>
    </row>
    <row r="33" spans="1:7" x14ac:dyDescent="0.3">
      <c r="A33" t="s">
        <v>48</v>
      </c>
      <c r="B33">
        <v>60</v>
      </c>
      <c r="C33">
        <v>52</v>
      </c>
      <c r="D33">
        <v>3.15</v>
      </c>
      <c r="E33">
        <v>86.67</v>
      </c>
      <c r="F33">
        <v>0.72199999999999998</v>
      </c>
      <c r="G33">
        <v>2.27</v>
      </c>
    </row>
    <row r="34" spans="1:7" x14ac:dyDescent="0.3">
      <c r="A34" t="s">
        <v>52</v>
      </c>
      <c r="B34">
        <v>60</v>
      </c>
      <c r="C34">
        <v>52</v>
      </c>
      <c r="D34">
        <v>3.19</v>
      </c>
      <c r="E34">
        <v>86.67</v>
      </c>
      <c r="F34">
        <v>0.72199999999999998</v>
      </c>
      <c r="G34">
        <v>2.2999999999999998</v>
      </c>
    </row>
    <row r="35" spans="1:7" x14ac:dyDescent="0.3">
      <c r="A35" t="s">
        <v>53</v>
      </c>
      <c r="B35">
        <v>60</v>
      </c>
      <c r="C35">
        <v>14</v>
      </c>
      <c r="D35">
        <v>3.86</v>
      </c>
      <c r="E35">
        <v>23.33</v>
      </c>
      <c r="F35">
        <v>0.41199999999999998</v>
      </c>
      <c r="G35">
        <v>1.59</v>
      </c>
    </row>
    <row r="36" spans="1:7" x14ac:dyDescent="0.3">
      <c r="A36" t="s">
        <v>50</v>
      </c>
      <c r="B36">
        <v>52</v>
      </c>
      <c r="C36">
        <v>9</v>
      </c>
      <c r="D36">
        <v>2.11</v>
      </c>
      <c r="E36">
        <v>17.309999999999999</v>
      </c>
      <c r="F36">
        <v>0.31</v>
      </c>
      <c r="G36">
        <v>0.65</v>
      </c>
    </row>
    <row r="37" spans="1:7" x14ac:dyDescent="0.3">
      <c r="A37" t="s">
        <v>62</v>
      </c>
      <c r="B37">
        <v>49</v>
      </c>
      <c r="C37">
        <v>37</v>
      </c>
      <c r="D37">
        <v>2.76</v>
      </c>
      <c r="E37">
        <v>75.510000000000005</v>
      </c>
      <c r="F37">
        <v>0.64900000000000002</v>
      </c>
      <c r="G37">
        <v>1.79</v>
      </c>
    </row>
    <row r="38" spans="1:7" x14ac:dyDescent="0.3">
      <c r="A38" t="s">
        <v>56</v>
      </c>
      <c r="B38">
        <v>46</v>
      </c>
      <c r="C38">
        <v>29</v>
      </c>
      <c r="D38">
        <v>3.45</v>
      </c>
      <c r="E38">
        <v>63.04</v>
      </c>
      <c r="F38">
        <v>0.59199999999999997</v>
      </c>
      <c r="G38">
        <v>2.04</v>
      </c>
    </row>
    <row r="39" spans="1:7" x14ac:dyDescent="0.3">
      <c r="A39" t="s">
        <v>39</v>
      </c>
      <c r="B39">
        <v>44</v>
      </c>
      <c r="C39">
        <v>16</v>
      </c>
      <c r="D39">
        <v>3.19</v>
      </c>
      <c r="E39">
        <v>36.36</v>
      </c>
      <c r="F39">
        <v>0.44400000000000001</v>
      </c>
      <c r="G39">
        <v>1.42</v>
      </c>
    </row>
    <row r="40" spans="1:7" x14ac:dyDescent="0.3">
      <c r="A40" t="s">
        <v>23</v>
      </c>
      <c r="B40">
        <v>41</v>
      </c>
      <c r="C40">
        <v>19</v>
      </c>
      <c r="D40">
        <v>3.53</v>
      </c>
      <c r="E40">
        <v>46.34</v>
      </c>
      <c r="F40">
        <v>0.48699999999999999</v>
      </c>
      <c r="G40">
        <v>1.72</v>
      </c>
    </row>
    <row r="41" spans="1:7" x14ac:dyDescent="0.3">
      <c r="A41" t="s">
        <v>43</v>
      </c>
      <c r="B41">
        <v>41</v>
      </c>
      <c r="C41">
        <v>31</v>
      </c>
      <c r="D41">
        <v>2.71</v>
      </c>
      <c r="E41">
        <v>75.61</v>
      </c>
      <c r="F41">
        <v>0.60799999999999998</v>
      </c>
      <c r="G41">
        <v>1.65</v>
      </c>
    </row>
    <row r="42" spans="1:7" x14ac:dyDescent="0.3">
      <c r="A42" t="s">
        <v>44</v>
      </c>
      <c r="B42">
        <v>35</v>
      </c>
      <c r="C42">
        <v>25</v>
      </c>
      <c r="D42">
        <v>2.4</v>
      </c>
      <c r="E42">
        <v>71.430000000000007</v>
      </c>
      <c r="F42">
        <v>0.55600000000000005</v>
      </c>
      <c r="G42">
        <v>1.33</v>
      </c>
    </row>
    <row r="43" spans="1:7" x14ac:dyDescent="0.3">
      <c r="A43" t="s">
        <v>31</v>
      </c>
      <c r="B43">
        <v>33</v>
      </c>
      <c r="C43">
        <v>32</v>
      </c>
      <c r="D43">
        <v>3.44</v>
      </c>
      <c r="E43">
        <v>96.97</v>
      </c>
      <c r="F43">
        <v>0.61499999999999999</v>
      </c>
      <c r="G43">
        <v>2.12</v>
      </c>
    </row>
    <row r="44" spans="1:7" x14ac:dyDescent="0.3">
      <c r="A44" t="s">
        <v>15</v>
      </c>
      <c r="B44">
        <v>31</v>
      </c>
      <c r="C44">
        <v>28</v>
      </c>
      <c r="D44">
        <v>2.71</v>
      </c>
      <c r="E44">
        <v>90.32</v>
      </c>
      <c r="F44">
        <v>0.58299999999999996</v>
      </c>
      <c r="G44">
        <v>1.58</v>
      </c>
    </row>
    <row r="45" spans="1:7" x14ac:dyDescent="0.3">
      <c r="A45" t="s">
        <v>63</v>
      </c>
      <c r="B45">
        <v>28</v>
      </c>
      <c r="C45">
        <v>16</v>
      </c>
      <c r="D45">
        <v>3</v>
      </c>
      <c r="E45">
        <v>57.14</v>
      </c>
      <c r="F45">
        <v>0.44400000000000001</v>
      </c>
      <c r="G45">
        <v>1.33</v>
      </c>
    </row>
    <row r="46" spans="1:7" x14ac:dyDescent="0.3">
      <c r="A46" t="s">
        <v>41</v>
      </c>
      <c r="B46">
        <v>26</v>
      </c>
      <c r="C46">
        <v>25</v>
      </c>
      <c r="D46">
        <v>3.48</v>
      </c>
      <c r="E46">
        <v>96.15</v>
      </c>
      <c r="F46">
        <v>0.55600000000000005</v>
      </c>
      <c r="G46">
        <v>1.93</v>
      </c>
    </row>
    <row r="47" spans="1:7" x14ac:dyDescent="0.3">
      <c r="A47" t="s">
        <v>21</v>
      </c>
      <c r="B47">
        <v>23</v>
      </c>
      <c r="C47">
        <v>13</v>
      </c>
      <c r="D47">
        <v>3.31</v>
      </c>
      <c r="E47">
        <v>56.52</v>
      </c>
      <c r="F47">
        <v>0.39400000000000002</v>
      </c>
      <c r="G47">
        <v>1.3</v>
      </c>
    </row>
    <row r="48" spans="1:7" x14ac:dyDescent="0.3">
      <c r="A48" t="s">
        <v>8</v>
      </c>
      <c r="B48">
        <v>22</v>
      </c>
      <c r="C48">
        <v>9</v>
      </c>
      <c r="D48">
        <v>2.89</v>
      </c>
      <c r="E48">
        <v>40.909999999999997</v>
      </c>
      <c r="F48">
        <v>0.31</v>
      </c>
      <c r="G48">
        <v>0.9</v>
      </c>
    </row>
    <row r="49" spans="1:7" x14ac:dyDescent="0.3">
      <c r="A49" t="s">
        <v>59</v>
      </c>
      <c r="B49">
        <v>14</v>
      </c>
      <c r="C49">
        <v>12</v>
      </c>
      <c r="D49">
        <v>3.25</v>
      </c>
      <c r="E49">
        <v>85.71</v>
      </c>
      <c r="F49">
        <v>0.375</v>
      </c>
      <c r="G49">
        <v>1.22</v>
      </c>
    </row>
    <row r="50" spans="1:7" x14ac:dyDescent="0.3">
      <c r="A50" t="s">
        <v>51</v>
      </c>
      <c r="B50">
        <v>11</v>
      </c>
      <c r="C50">
        <v>11</v>
      </c>
      <c r="D50">
        <v>3.27</v>
      </c>
      <c r="E50">
        <v>100</v>
      </c>
      <c r="F50">
        <v>0.35499999999999998</v>
      </c>
      <c r="G50">
        <v>1.1599999999999999</v>
      </c>
    </row>
    <row r="51" spans="1:7" x14ac:dyDescent="0.3">
      <c r="A51" t="s">
        <v>16</v>
      </c>
      <c r="B51">
        <v>8</v>
      </c>
      <c r="C51">
        <v>7</v>
      </c>
      <c r="D51">
        <v>1.43</v>
      </c>
      <c r="E51">
        <v>87.5</v>
      </c>
      <c r="F51">
        <v>0.25900000000000001</v>
      </c>
      <c r="G51">
        <v>0.37</v>
      </c>
    </row>
    <row r="52" spans="1:7" x14ac:dyDescent="0.3">
      <c r="A52" t="s">
        <v>17</v>
      </c>
      <c r="B52">
        <v>7</v>
      </c>
      <c r="C52">
        <v>6</v>
      </c>
      <c r="D52">
        <v>3.67</v>
      </c>
      <c r="E52">
        <v>85.71</v>
      </c>
      <c r="F52">
        <v>0.23100000000000001</v>
      </c>
      <c r="G52">
        <v>0.85</v>
      </c>
    </row>
    <row r="53" spans="1:7" x14ac:dyDescent="0.3">
      <c r="A53" t="s">
        <v>20</v>
      </c>
      <c r="B53">
        <v>2</v>
      </c>
      <c r="C53">
        <v>1</v>
      </c>
      <c r="D53">
        <v>3</v>
      </c>
      <c r="E53">
        <v>50</v>
      </c>
      <c r="F53">
        <v>4.8000000000000001E-2</v>
      </c>
      <c r="G53">
        <v>0.14000000000000001</v>
      </c>
    </row>
    <row r="54" spans="1:7" x14ac:dyDescent="0.3">
      <c r="A54" t="s">
        <v>58</v>
      </c>
      <c r="B54">
        <v>2</v>
      </c>
      <c r="C54">
        <v>2</v>
      </c>
      <c r="D54">
        <v>2</v>
      </c>
      <c r="E54">
        <v>100</v>
      </c>
      <c r="F54">
        <v>9.0999999999999998E-2</v>
      </c>
      <c r="G54">
        <v>0.18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C5C30-5F47-4D32-8571-734CD2D2334D}">
  <dimension ref="A1:H393"/>
  <sheetViews>
    <sheetView topLeftCell="A2" workbookViewId="0">
      <selection activeCell="B8" sqref="B8"/>
    </sheetView>
  </sheetViews>
  <sheetFormatPr defaultRowHeight="14.4" x14ac:dyDescent="0.3"/>
  <cols>
    <col min="1" max="1" width="7.44140625" bestFit="1" customWidth="1"/>
    <col min="2" max="2" width="26.5546875" bestFit="1" customWidth="1"/>
    <col min="3" max="3" width="28.33203125" bestFit="1" customWidth="1"/>
    <col min="4" max="4" width="19" bestFit="1" customWidth="1"/>
    <col min="5" max="5" width="16.88671875" bestFit="1" customWidth="1"/>
    <col min="6" max="6" width="13.21875" bestFit="1" customWidth="1"/>
    <col min="7" max="7" width="22.77734375" bestFit="1" customWidth="1"/>
    <col min="8" max="8" width="19.109375" bestFit="1" customWidth="1"/>
  </cols>
  <sheetData>
    <row r="1" spans="1:8" x14ac:dyDescent="0.3">
      <c r="A1" t="s">
        <v>0</v>
      </c>
      <c r="B1" t="s">
        <v>78</v>
      </c>
      <c r="C1" t="s">
        <v>79</v>
      </c>
      <c r="D1" t="s">
        <v>80</v>
      </c>
      <c r="E1" t="s">
        <v>81</v>
      </c>
      <c r="F1" t="s">
        <v>82</v>
      </c>
      <c r="G1" t="s">
        <v>83</v>
      </c>
      <c r="H1" t="s">
        <v>84</v>
      </c>
    </row>
    <row r="2" spans="1:8" x14ac:dyDescent="0.3">
      <c r="A2" t="s">
        <v>8</v>
      </c>
      <c r="B2" t="s">
        <v>85</v>
      </c>
      <c r="C2">
        <v>22</v>
      </c>
      <c r="D2">
        <v>8</v>
      </c>
      <c r="E2">
        <v>14</v>
      </c>
      <c r="F2">
        <v>63.64</v>
      </c>
      <c r="G2">
        <v>1</v>
      </c>
      <c r="H2">
        <v>12.5</v>
      </c>
    </row>
    <row r="3" spans="1:8" x14ac:dyDescent="0.3">
      <c r="A3" t="s">
        <v>8</v>
      </c>
      <c r="B3" t="s">
        <v>86</v>
      </c>
      <c r="C3">
        <v>22</v>
      </c>
      <c r="D3">
        <v>4</v>
      </c>
      <c r="E3">
        <v>18</v>
      </c>
      <c r="F3">
        <v>81.819999999999993</v>
      </c>
      <c r="G3">
        <v>0</v>
      </c>
      <c r="H3">
        <v>0</v>
      </c>
    </row>
    <row r="4" spans="1:8" x14ac:dyDescent="0.3">
      <c r="A4" t="s">
        <v>8</v>
      </c>
      <c r="B4" t="s">
        <v>87</v>
      </c>
      <c r="C4">
        <v>22</v>
      </c>
      <c r="D4">
        <v>8</v>
      </c>
      <c r="E4">
        <v>14</v>
      </c>
      <c r="F4">
        <v>63.64</v>
      </c>
      <c r="G4">
        <v>0</v>
      </c>
      <c r="H4">
        <v>0</v>
      </c>
    </row>
    <row r="5" spans="1:8" x14ac:dyDescent="0.3">
      <c r="A5" t="s">
        <v>8</v>
      </c>
      <c r="B5" t="s">
        <v>88</v>
      </c>
      <c r="C5">
        <v>22</v>
      </c>
      <c r="D5">
        <v>10</v>
      </c>
      <c r="E5">
        <v>12</v>
      </c>
      <c r="F5">
        <v>54.55</v>
      </c>
      <c r="G5">
        <v>3</v>
      </c>
      <c r="H5">
        <v>30</v>
      </c>
    </row>
    <row r="6" spans="1:8" x14ac:dyDescent="0.3">
      <c r="A6" t="s">
        <v>8</v>
      </c>
      <c r="B6" t="s">
        <v>89</v>
      </c>
      <c r="C6">
        <v>22</v>
      </c>
      <c r="D6">
        <v>11</v>
      </c>
      <c r="E6">
        <v>11</v>
      </c>
      <c r="F6">
        <v>50</v>
      </c>
      <c r="G6">
        <v>0</v>
      </c>
      <c r="H6">
        <v>0</v>
      </c>
    </row>
    <row r="7" spans="1:8" x14ac:dyDescent="0.3">
      <c r="A7" t="s">
        <v>8</v>
      </c>
      <c r="B7" t="s">
        <v>90</v>
      </c>
      <c r="C7">
        <v>22</v>
      </c>
      <c r="D7">
        <v>7</v>
      </c>
      <c r="E7">
        <v>15</v>
      </c>
      <c r="F7">
        <v>68.180000000000007</v>
      </c>
      <c r="G7">
        <v>4</v>
      </c>
      <c r="H7">
        <v>57.14</v>
      </c>
    </row>
    <row r="8" spans="1:8" x14ac:dyDescent="0.3">
      <c r="A8" t="s">
        <v>8</v>
      </c>
      <c r="B8" t="s">
        <v>91</v>
      </c>
      <c r="C8">
        <v>22</v>
      </c>
      <c r="D8">
        <v>7</v>
      </c>
      <c r="E8">
        <v>15</v>
      </c>
      <c r="F8">
        <v>68.180000000000007</v>
      </c>
      <c r="G8">
        <v>2</v>
      </c>
      <c r="H8">
        <v>28.57</v>
      </c>
    </row>
    <row r="9" spans="1:8" x14ac:dyDescent="0.3">
      <c r="A9" t="s">
        <v>9</v>
      </c>
      <c r="B9" t="s">
        <v>85</v>
      </c>
      <c r="C9">
        <v>90</v>
      </c>
      <c r="D9">
        <v>85</v>
      </c>
      <c r="E9">
        <v>5</v>
      </c>
      <c r="F9">
        <v>5.56</v>
      </c>
      <c r="G9">
        <v>12</v>
      </c>
      <c r="H9">
        <v>14.12</v>
      </c>
    </row>
    <row r="10" spans="1:8" x14ac:dyDescent="0.3">
      <c r="A10" t="s">
        <v>9</v>
      </c>
      <c r="B10" t="s">
        <v>86</v>
      </c>
      <c r="C10">
        <v>90</v>
      </c>
      <c r="D10">
        <v>60</v>
      </c>
      <c r="E10">
        <v>30</v>
      </c>
      <c r="F10">
        <v>33.33</v>
      </c>
      <c r="G10">
        <v>17</v>
      </c>
      <c r="H10">
        <v>28.33</v>
      </c>
    </row>
    <row r="11" spans="1:8" x14ac:dyDescent="0.3">
      <c r="A11" t="s">
        <v>9</v>
      </c>
      <c r="B11" t="s">
        <v>87</v>
      </c>
      <c r="C11">
        <v>90</v>
      </c>
      <c r="D11">
        <v>77</v>
      </c>
      <c r="E11">
        <v>13</v>
      </c>
      <c r="F11">
        <v>14.44</v>
      </c>
      <c r="G11">
        <v>14</v>
      </c>
      <c r="H11">
        <v>18.18</v>
      </c>
    </row>
    <row r="12" spans="1:8" x14ac:dyDescent="0.3">
      <c r="A12" t="s">
        <v>9</v>
      </c>
      <c r="B12" t="s">
        <v>88</v>
      </c>
      <c r="C12">
        <v>90</v>
      </c>
      <c r="D12">
        <v>72</v>
      </c>
      <c r="E12">
        <v>18</v>
      </c>
      <c r="F12">
        <v>20</v>
      </c>
      <c r="G12">
        <v>20</v>
      </c>
      <c r="H12">
        <v>27.78</v>
      </c>
    </row>
    <row r="13" spans="1:8" x14ac:dyDescent="0.3">
      <c r="A13" t="s">
        <v>9</v>
      </c>
      <c r="B13" t="s">
        <v>89</v>
      </c>
      <c r="C13">
        <v>90</v>
      </c>
      <c r="D13">
        <v>80</v>
      </c>
      <c r="E13">
        <v>10</v>
      </c>
      <c r="F13">
        <v>11.11</v>
      </c>
      <c r="G13">
        <v>12</v>
      </c>
      <c r="H13">
        <v>15</v>
      </c>
    </row>
    <row r="14" spans="1:8" x14ac:dyDescent="0.3">
      <c r="A14" t="s">
        <v>9</v>
      </c>
      <c r="B14" t="s">
        <v>90</v>
      </c>
      <c r="C14">
        <v>90</v>
      </c>
      <c r="D14">
        <v>50</v>
      </c>
      <c r="E14">
        <v>40</v>
      </c>
      <c r="F14">
        <v>44.44</v>
      </c>
      <c r="G14">
        <v>14</v>
      </c>
      <c r="H14">
        <v>28</v>
      </c>
    </row>
    <row r="15" spans="1:8" x14ac:dyDescent="0.3">
      <c r="A15" t="s">
        <v>9</v>
      </c>
      <c r="B15" t="s">
        <v>91</v>
      </c>
      <c r="C15">
        <v>90</v>
      </c>
      <c r="D15">
        <v>86</v>
      </c>
      <c r="E15">
        <v>4</v>
      </c>
      <c r="F15">
        <v>4.4400000000000004</v>
      </c>
      <c r="G15">
        <v>13</v>
      </c>
      <c r="H15">
        <v>15.12</v>
      </c>
    </row>
    <row r="16" spans="1:8" x14ac:dyDescent="0.3">
      <c r="A16" t="s">
        <v>10</v>
      </c>
      <c r="B16" t="s">
        <v>85</v>
      </c>
      <c r="C16">
        <v>75</v>
      </c>
      <c r="D16">
        <v>56</v>
      </c>
      <c r="E16">
        <v>19</v>
      </c>
      <c r="F16">
        <v>25.33</v>
      </c>
      <c r="G16">
        <v>5</v>
      </c>
      <c r="H16">
        <v>8.93</v>
      </c>
    </row>
    <row r="17" spans="1:8" x14ac:dyDescent="0.3">
      <c r="A17" t="s">
        <v>10</v>
      </c>
      <c r="B17" t="s">
        <v>86</v>
      </c>
      <c r="C17">
        <v>75</v>
      </c>
      <c r="D17">
        <v>43</v>
      </c>
      <c r="E17">
        <v>32</v>
      </c>
      <c r="F17">
        <v>42.67</v>
      </c>
      <c r="G17">
        <v>12</v>
      </c>
      <c r="H17">
        <v>27.91</v>
      </c>
    </row>
    <row r="18" spans="1:8" x14ac:dyDescent="0.3">
      <c r="A18" t="s">
        <v>10</v>
      </c>
      <c r="B18" t="s">
        <v>87</v>
      </c>
      <c r="C18">
        <v>75</v>
      </c>
      <c r="D18">
        <v>61</v>
      </c>
      <c r="E18">
        <v>14</v>
      </c>
      <c r="F18">
        <v>18.670000000000002</v>
      </c>
      <c r="G18">
        <v>18</v>
      </c>
      <c r="H18">
        <v>29.51</v>
      </c>
    </row>
    <row r="19" spans="1:8" x14ac:dyDescent="0.3">
      <c r="A19" t="s">
        <v>10</v>
      </c>
      <c r="B19" t="s">
        <v>88</v>
      </c>
      <c r="C19">
        <v>75</v>
      </c>
      <c r="D19">
        <v>50</v>
      </c>
      <c r="E19">
        <v>25</v>
      </c>
      <c r="F19">
        <v>33.33</v>
      </c>
      <c r="G19">
        <v>12</v>
      </c>
      <c r="H19">
        <v>24</v>
      </c>
    </row>
    <row r="20" spans="1:8" x14ac:dyDescent="0.3">
      <c r="A20" t="s">
        <v>10</v>
      </c>
      <c r="B20" t="s">
        <v>89</v>
      </c>
      <c r="C20">
        <v>75</v>
      </c>
      <c r="D20">
        <v>66</v>
      </c>
      <c r="E20">
        <v>9</v>
      </c>
      <c r="F20">
        <v>12</v>
      </c>
      <c r="G20">
        <v>21</v>
      </c>
      <c r="H20">
        <v>31.82</v>
      </c>
    </row>
    <row r="21" spans="1:8" x14ac:dyDescent="0.3">
      <c r="A21" t="s">
        <v>10</v>
      </c>
      <c r="B21" t="s">
        <v>90</v>
      </c>
      <c r="C21">
        <v>75</v>
      </c>
      <c r="D21">
        <v>32</v>
      </c>
      <c r="E21">
        <v>43</v>
      </c>
      <c r="F21">
        <v>57.33</v>
      </c>
      <c r="G21">
        <v>4</v>
      </c>
      <c r="H21">
        <v>12.5</v>
      </c>
    </row>
    <row r="22" spans="1:8" x14ac:dyDescent="0.3">
      <c r="A22" t="s">
        <v>10</v>
      </c>
      <c r="B22" t="s">
        <v>91</v>
      </c>
      <c r="C22">
        <v>75</v>
      </c>
      <c r="D22">
        <v>54</v>
      </c>
      <c r="E22">
        <v>21</v>
      </c>
      <c r="F22">
        <v>28</v>
      </c>
      <c r="G22">
        <v>1</v>
      </c>
      <c r="H22">
        <v>1.85</v>
      </c>
    </row>
    <row r="23" spans="1:8" x14ac:dyDescent="0.3">
      <c r="A23" t="s">
        <v>11</v>
      </c>
      <c r="B23" t="s">
        <v>85</v>
      </c>
      <c r="C23">
        <v>1</v>
      </c>
      <c r="D23">
        <v>0</v>
      </c>
      <c r="E23">
        <v>1</v>
      </c>
      <c r="F23">
        <v>100</v>
      </c>
      <c r="G23">
        <v>0</v>
      </c>
    </row>
    <row r="24" spans="1:8" x14ac:dyDescent="0.3">
      <c r="A24" t="s">
        <v>11</v>
      </c>
      <c r="B24" t="s">
        <v>86</v>
      </c>
      <c r="C24">
        <v>1</v>
      </c>
      <c r="D24">
        <v>0</v>
      </c>
      <c r="E24">
        <v>1</v>
      </c>
      <c r="F24">
        <v>100</v>
      </c>
      <c r="G24">
        <v>0</v>
      </c>
    </row>
    <row r="25" spans="1:8" x14ac:dyDescent="0.3">
      <c r="A25" t="s">
        <v>11</v>
      </c>
      <c r="B25" t="s">
        <v>87</v>
      </c>
      <c r="C25">
        <v>1</v>
      </c>
      <c r="D25">
        <v>0</v>
      </c>
      <c r="E25">
        <v>1</v>
      </c>
      <c r="F25">
        <v>100</v>
      </c>
      <c r="G25">
        <v>0</v>
      </c>
    </row>
    <row r="26" spans="1:8" x14ac:dyDescent="0.3">
      <c r="A26" t="s">
        <v>11</v>
      </c>
      <c r="B26" t="s">
        <v>88</v>
      </c>
      <c r="C26">
        <v>1</v>
      </c>
      <c r="D26">
        <v>0</v>
      </c>
      <c r="E26">
        <v>1</v>
      </c>
      <c r="F26">
        <v>100</v>
      </c>
      <c r="G26">
        <v>0</v>
      </c>
    </row>
    <row r="27" spans="1:8" x14ac:dyDescent="0.3">
      <c r="A27" t="s">
        <v>11</v>
      </c>
      <c r="B27" t="s">
        <v>89</v>
      </c>
      <c r="C27">
        <v>1</v>
      </c>
      <c r="D27">
        <v>0</v>
      </c>
      <c r="E27">
        <v>1</v>
      </c>
      <c r="F27">
        <v>100</v>
      </c>
      <c r="G27">
        <v>0</v>
      </c>
    </row>
    <row r="28" spans="1:8" x14ac:dyDescent="0.3">
      <c r="A28" t="s">
        <v>11</v>
      </c>
      <c r="B28" t="s">
        <v>90</v>
      </c>
      <c r="C28">
        <v>1</v>
      </c>
      <c r="D28">
        <v>0</v>
      </c>
      <c r="E28">
        <v>1</v>
      </c>
      <c r="F28">
        <v>100</v>
      </c>
      <c r="G28">
        <v>0</v>
      </c>
    </row>
    <row r="29" spans="1:8" x14ac:dyDescent="0.3">
      <c r="A29" t="s">
        <v>11</v>
      </c>
      <c r="B29" t="s">
        <v>91</v>
      </c>
      <c r="C29">
        <v>1</v>
      </c>
      <c r="D29">
        <v>0</v>
      </c>
      <c r="E29">
        <v>1</v>
      </c>
      <c r="F29">
        <v>100</v>
      </c>
      <c r="G29">
        <v>0</v>
      </c>
    </row>
    <row r="30" spans="1:8" x14ac:dyDescent="0.3">
      <c r="A30" t="s">
        <v>12</v>
      </c>
      <c r="B30" t="s">
        <v>85</v>
      </c>
      <c r="C30">
        <v>80</v>
      </c>
      <c r="D30">
        <v>58</v>
      </c>
      <c r="E30">
        <v>22</v>
      </c>
      <c r="F30">
        <v>27.5</v>
      </c>
      <c r="G30">
        <v>7</v>
      </c>
      <c r="H30">
        <v>12.07</v>
      </c>
    </row>
    <row r="31" spans="1:8" x14ac:dyDescent="0.3">
      <c r="A31" t="s">
        <v>12</v>
      </c>
      <c r="B31" t="s">
        <v>86</v>
      </c>
      <c r="C31">
        <v>80</v>
      </c>
      <c r="D31">
        <v>42</v>
      </c>
      <c r="E31">
        <v>38</v>
      </c>
      <c r="F31">
        <v>47.5</v>
      </c>
      <c r="G31">
        <v>7</v>
      </c>
      <c r="H31">
        <v>16.670000000000002</v>
      </c>
    </row>
    <row r="32" spans="1:8" x14ac:dyDescent="0.3">
      <c r="A32" t="s">
        <v>12</v>
      </c>
      <c r="B32" t="s">
        <v>87</v>
      </c>
      <c r="C32">
        <v>80</v>
      </c>
      <c r="D32">
        <v>48</v>
      </c>
      <c r="E32">
        <v>32</v>
      </c>
      <c r="F32">
        <v>40</v>
      </c>
      <c r="G32">
        <v>3</v>
      </c>
      <c r="H32">
        <v>6.25</v>
      </c>
    </row>
    <row r="33" spans="1:8" x14ac:dyDescent="0.3">
      <c r="A33" t="s">
        <v>12</v>
      </c>
      <c r="B33" t="s">
        <v>88</v>
      </c>
      <c r="C33">
        <v>80</v>
      </c>
      <c r="D33">
        <v>63</v>
      </c>
      <c r="E33">
        <v>17</v>
      </c>
      <c r="F33">
        <v>21.25</v>
      </c>
      <c r="G33">
        <v>32</v>
      </c>
      <c r="H33">
        <v>50.79</v>
      </c>
    </row>
    <row r="34" spans="1:8" x14ac:dyDescent="0.3">
      <c r="A34" t="s">
        <v>12</v>
      </c>
      <c r="B34" t="s">
        <v>89</v>
      </c>
      <c r="C34">
        <v>80</v>
      </c>
      <c r="D34">
        <v>59</v>
      </c>
      <c r="E34">
        <v>21</v>
      </c>
      <c r="F34">
        <v>26.25</v>
      </c>
      <c r="G34">
        <v>8</v>
      </c>
      <c r="H34">
        <v>13.56</v>
      </c>
    </row>
    <row r="35" spans="1:8" x14ac:dyDescent="0.3">
      <c r="A35" t="s">
        <v>12</v>
      </c>
      <c r="B35" t="s">
        <v>90</v>
      </c>
      <c r="C35">
        <v>80</v>
      </c>
      <c r="D35">
        <v>49</v>
      </c>
      <c r="E35">
        <v>31</v>
      </c>
      <c r="F35">
        <v>38.75</v>
      </c>
      <c r="G35">
        <v>16</v>
      </c>
      <c r="H35">
        <v>32.65</v>
      </c>
    </row>
    <row r="36" spans="1:8" x14ac:dyDescent="0.3">
      <c r="A36" t="s">
        <v>12</v>
      </c>
      <c r="B36" t="s">
        <v>91</v>
      </c>
      <c r="C36">
        <v>80</v>
      </c>
      <c r="D36">
        <v>55</v>
      </c>
      <c r="E36">
        <v>25</v>
      </c>
      <c r="F36">
        <v>31.25</v>
      </c>
      <c r="G36">
        <v>18</v>
      </c>
      <c r="H36">
        <v>32.729999999999997</v>
      </c>
    </row>
    <row r="37" spans="1:8" x14ac:dyDescent="0.3">
      <c r="A37" t="s">
        <v>13</v>
      </c>
      <c r="B37" t="s">
        <v>85</v>
      </c>
      <c r="C37">
        <v>343</v>
      </c>
      <c r="D37">
        <v>290</v>
      </c>
      <c r="E37">
        <v>53</v>
      </c>
      <c r="F37">
        <v>15.45</v>
      </c>
      <c r="G37">
        <v>25</v>
      </c>
      <c r="H37">
        <v>8.6199999999999992</v>
      </c>
    </row>
    <row r="38" spans="1:8" x14ac:dyDescent="0.3">
      <c r="A38" t="s">
        <v>13</v>
      </c>
      <c r="B38" t="s">
        <v>86</v>
      </c>
      <c r="C38">
        <v>343</v>
      </c>
      <c r="D38">
        <v>190</v>
      </c>
      <c r="E38">
        <v>153</v>
      </c>
      <c r="F38">
        <v>44.61</v>
      </c>
      <c r="G38">
        <v>33</v>
      </c>
      <c r="H38">
        <v>17.37</v>
      </c>
    </row>
    <row r="39" spans="1:8" x14ac:dyDescent="0.3">
      <c r="A39" t="s">
        <v>13</v>
      </c>
      <c r="B39" t="s">
        <v>87</v>
      </c>
      <c r="C39">
        <v>343</v>
      </c>
      <c r="D39">
        <v>255</v>
      </c>
      <c r="E39">
        <v>88</v>
      </c>
      <c r="F39">
        <v>25.66</v>
      </c>
      <c r="G39">
        <v>25</v>
      </c>
      <c r="H39">
        <v>9.8000000000000007</v>
      </c>
    </row>
    <row r="40" spans="1:8" x14ac:dyDescent="0.3">
      <c r="A40" t="s">
        <v>13</v>
      </c>
      <c r="B40" t="s">
        <v>88</v>
      </c>
      <c r="C40">
        <v>343</v>
      </c>
      <c r="D40">
        <v>295</v>
      </c>
      <c r="E40">
        <v>48</v>
      </c>
      <c r="F40">
        <v>13.99</v>
      </c>
      <c r="G40">
        <v>180</v>
      </c>
      <c r="H40">
        <v>61.02</v>
      </c>
    </row>
    <row r="41" spans="1:8" x14ac:dyDescent="0.3">
      <c r="A41" t="s">
        <v>13</v>
      </c>
      <c r="B41" t="s">
        <v>89</v>
      </c>
      <c r="C41">
        <v>343</v>
      </c>
      <c r="D41">
        <v>271</v>
      </c>
      <c r="E41">
        <v>72</v>
      </c>
      <c r="F41">
        <v>20.99</v>
      </c>
      <c r="G41">
        <v>68</v>
      </c>
      <c r="H41">
        <v>25.09</v>
      </c>
    </row>
    <row r="42" spans="1:8" x14ac:dyDescent="0.3">
      <c r="A42" t="s">
        <v>13</v>
      </c>
      <c r="B42" t="s">
        <v>90</v>
      </c>
      <c r="C42">
        <v>343</v>
      </c>
      <c r="D42">
        <v>268</v>
      </c>
      <c r="E42">
        <v>75</v>
      </c>
      <c r="F42">
        <v>21.87</v>
      </c>
      <c r="G42">
        <v>53</v>
      </c>
      <c r="H42">
        <v>19.78</v>
      </c>
    </row>
    <row r="43" spans="1:8" x14ac:dyDescent="0.3">
      <c r="A43" t="s">
        <v>13</v>
      </c>
      <c r="B43" t="s">
        <v>91</v>
      </c>
      <c r="C43">
        <v>343</v>
      </c>
      <c r="D43">
        <v>251</v>
      </c>
      <c r="E43">
        <v>92</v>
      </c>
      <c r="F43">
        <v>26.82</v>
      </c>
      <c r="G43">
        <v>156</v>
      </c>
      <c r="H43">
        <v>62.15</v>
      </c>
    </row>
    <row r="44" spans="1:8" x14ac:dyDescent="0.3">
      <c r="A44" t="s">
        <v>14</v>
      </c>
      <c r="B44" t="s">
        <v>85</v>
      </c>
      <c r="C44">
        <v>78</v>
      </c>
      <c r="D44">
        <v>52</v>
      </c>
      <c r="E44">
        <v>26</v>
      </c>
      <c r="F44">
        <v>33.33</v>
      </c>
      <c r="G44">
        <v>0</v>
      </c>
      <c r="H44">
        <v>0</v>
      </c>
    </row>
    <row r="45" spans="1:8" x14ac:dyDescent="0.3">
      <c r="A45" t="s">
        <v>14</v>
      </c>
      <c r="B45" t="s">
        <v>86</v>
      </c>
      <c r="C45">
        <v>78</v>
      </c>
      <c r="D45">
        <v>45</v>
      </c>
      <c r="E45">
        <v>33</v>
      </c>
      <c r="F45">
        <v>42.31</v>
      </c>
      <c r="G45">
        <v>3</v>
      </c>
      <c r="H45">
        <v>6.67</v>
      </c>
    </row>
    <row r="46" spans="1:8" x14ac:dyDescent="0.3">
      <c r="A46" t="s">
        <v>14</v>
      </c>
      <c r="B46" t="s">
        <v>87</v>
      </c>
      <c r="C46">
        <v>78</v>
      </c>
      <c r="D46">
        <v>46</v>
      </c>
      <c r="E46">
        <v>32</v>
      </c>
      <c r="F46">
        <v>41.03</v>
      </c>
      <c r="G46">
        <v>2</v>
      </c>
      <c r="H46">
        <v>4.3499999999999996</v>
      </c>
    </row>
    <row r="47" spans="1:8" x14ac:dyDescent="0.3">
      <c r="A47" t="s">
        <v>14</v>
      </c>
      <c r="B47" t="s">
        <v>88</v>
      </c>
      <c r="C47">
        <v>78</v>
      </c>
      <c r="D47">
        <v>54</v>
      </c>
      <c r="E47">
        <v>24</v>
      </c>
      <c r="F47">
        <v>30.77</v>
      </c>
      <c r="G47">
        <v>4</v>
      </c>
      <c r="H47">
        <v>7.41</v>
      </c>
    </row>
    <row r="48" spans="1:8" x14ac:dyDescent="0.3">
      <c r="A48" t="s">
        <v>14</v>
      </c>
      <c r="B48" t="s">
        <v>89</v>
      </c>
      <c r="C48">
        <v>78</v>
      </c>
      <c r="D48">
        <v>58</v>
      </c>
      <c r="E48">
        <v>20</v>
      </c>
      <c r="F48">
        <v>25.64</v>
      </c>
      <c r="G48">
        <v>1</v>
      </c>
      <c r="H48">
        <v>1.72</v>
      </c>
    </row>
    <row r="49" spans="1:8" x14ac:dyDescent="0.3">
      <c r="A49" t="s">
        <v>14</v>
      </c>
      <c r="B49" t="s">
        <v>90</v>
      </c>
      <c r="C49">
        <v>78</v>
      </c>
      <c r="D49">
        <v>42</v>
      </c>
      <c r="E49">
        <v>36</v>
      </c>
      <c r="F49">
        <v>46.15</v>
      </c>
      <c r="G49">
        <v>12</v>
      </c>
      <c r="H49">
        <v>28.57</v>
      </c>
    </row>
    <row r="50" spans="1:8" x14ac:dyDescent="0.3">
      <c r="A50" t="s">
        <v>14</v>
      </c>
      <c r="B50" t="s">
        <v>91</v>
      </c>
      <c r="C50">
        <v>78</v>
      </c>
      <c r="D50">
        <v>51</v>
      </c>
      <c r="E50">
        <v>27</v>
      </c>
      <c r="F50">
        <v>34.619999999999997</v>
      </c>
      <c r="G50">
        <v>0</v>
      </c>
      <c r="H50">
        <v>0</v>
      </c>
    </row>
    <row r="51" spans="1:8" x14ac:dyDescent="0.3">
      <c r="A51" t="s">
        <v>15</v>
      </c>
      <c r="B51" t="s">
        <v>85</v>
      </c>
      <c r="C51">
        <v>31</v>
      </c>
      <c r="D51">
        <v>28</v>
      </c>
      <c r="E51">
        <v>3</v>
      </c>
      <c r="F51">
        <v>9.68</v>
      </c>
      <c r="G51">
        <v>1</v>
      </c>
      <c r="H51">
        <v>3.57</v>
      </c>
    </row>
    <row r="52" spans="1:8" x14ac:dyDescent="0.3">
      <c r="A52" t="s">
        <v>15</v>
      </c>
      <c r="B52" t="s">
        <v>86</v>
      </c>
      <c r="C52">
        <v>31</v>
      </c>
      <c r="D52">
        <v>27</v>
      </c>
      <c r="E52">
        <v>4</v>
      </c>
      <c r="F52">
        <v>12.9</v>
      </c>
      <c r="G52">
        <v>2</v>
      </c>
      <c r="H52">
        <v>7.41</v>
      </c>
    </row>
    <row r="53" spans="1:8" x14ac:dyDescent="0.3">
      <c r="A53" t="s">
        <v>15</v>
      </c>
      <c r="B53" t="s">
        <v>87</v>
      </c>
      <c r="C53">
        <v>31</v>
      </c>
      <c r="D53">
        <v>28</v>
      </c>
      <c r="E53">
        <v>3</v>
      </c>
      <c r="F53">
        <v>9.68</v>
      </c>
      <c r="G53">
        <v>2</v>
      </c>
      <c r="H53">
        <v>7.14</v>
      </c>
    </row>
    <row r="54" spans="1:8" x14ac:dyDescent="0.3">
      <c r="A54" t="s">
        <v>15</v>
      </c>
      <c r="B54" t="s">
        <v>88</v>
      </c>
      <c r="C54">
        <v>31</v>
      </c>
      <c r="D54">
        <v>27</v>
      </c>
      <c r="E54">
        <v>4</v>
      </c>
      <c r="F54">
        <v>12.9</v>
      </c>
      <c r="G54">
        <v>9</v>
      </c>
      <c r="H54">
        <v>33.33</v>
      </c>
    </row>
    <row r="55" spans="1:8" x14ac:dyDescent="0.3">
      <c r="A55" t="s">
        <v>15</v>
      </c>
      <c r="B55" t="s">
        <v>89</v>
      </c>
      <c r="C55">
        <v>31</v>
      </c>
      <c r="D55">
        <v>28</v>
      </c>
      <c r="E55">
        <v>3</v>
      </c>
      <c r="F55">
        <v>9.68</v>
      </c>
      <c r="G55">
        <v>10</v>
      </c>
      <c r="H55">
        <v>35.71</v>
      </c>
    </row>
    <row r="56" spans="1:8" x14ac:dyDescent="0.3">
      <c r="A56" t="s">
        <v>15</v>
      </c>
      <c r="B56" t="s">
        <v>90</v>
      </c>
      <c r="C56">
        <v>31</v>
      </c>
      <c r="D56">
        <v>27</v>
      </c>
      <c r="E56">
        <v>4</v>
      </c>
      <c r="F56">
        <v>12.9</v>
      </c>
      <c r="G56">
        <v>15</v>
      </c>
      <c r="H56">
        <v>55.56</v>
      </c>
    </row>
    <row r="57" spans="1:8" x14ac:dyDescent="0.3">
      <c r="A57" t="s">
        <v>15</v>
      </c>
      <c r="B57" t="s">
        <v>91</v>
      </c>
      <c r="C57">
        <v>31</v>
      </c>
      <c r="D57">
        <v>27</v>
      </c>
      <c r="E57">
        <v>4</v>
      </c>
      <c r="F57">
        <v>12.9</v>
      </c>
      <c r="G57">
        <v>18</v>
      </c>
      <c r="H57">
        <v>66.67</v>
      </c>
    </row>
    <row r="58" spans="1:8" x14ac:dyDescent="0.3">
      <c r="A58" t="s">
        <v>16</v>
      </c>
      <c r="B58" t="s">
        <v>85</v>
      </c>
      <c r="C58">
        <v>8</v>
      </c>
      <c r="D58">
        <v>7</v>
      </c>
      <c r="E58">
        <v>1</v>
      </c>
      <c r="F58">
        <v>12.5</v>
      </c>
      <c r="G58">
        <v>3</v>
      </c>
      <c r="H58">
        <v>42.86</v>
      </c>
    </row>
    <row r="59" spans="1:8" x14ac:dyDescent="0.3">
      <c r="A59" t="s">
        <v>16</v>
      </c>
      <c r="B59" t="s">
        <v>86</v>
      </c>
      <c r="C59">
        <v>8</v>
      </c>
      <c r="D59">
        <v>7</v>
      </c>
      <c r="E59">
        <v>1</v>
      </c>
      <c r="F59">
        <v>12.5</v>
      </c>
      <c r="G59">
        <v>0</v>
      </c>
      <c r="H59">
        <v>0</v>
      </c>
    </row>
    <row r="60" spans="1:8" x14ac:dyDescent="0.3">
      <c r="A60" t="s">
        <v>16</v>
      </c>
      <c r="B60" t="s">
        <v>87</v>
      </c>
      <c r="C60">
        <v>8</v>
      </c>
      <c r="D60">
        <v>7</v>
      </c>
      <c r="E60">
        <v>1</v>
      </c>
      <c r="F60">
        <v>12.5</v>
      </c>
      <c r="G60">
        <v>0</v>
      </c>
      <c r="H60">
        <v>0</v>
      </c>
    </row>
    <row r="61" spans="1:8" x14ac:dyDescent="0.3">
      <c r="A61" t="s">
        <v>16</v>
      </c>
      <c r="B61" t="s">
        <v>88</v>
      </c>
      <c r="C61">
        <v>8</v>
      </c>
      <c r="D61">
        <v>7</v>
      </c>
      <c r="E61">
        <v>1</v>
      </c>
      <c r="F61">
        <v>12.5</v>
      </c>
      <c r="G61">
        <v>7</v>
      </c>
      <c r="H61">
        <v>100</v>
      </c>
    </row>
    <row r="62" spans="1:8" x14ac:dyDescent="0.3">
      <c r="A62" t="s">
        <v>16</v>
      </c>
      <c r="B62" t="s">
        <v>89</v>
      </c>
      <c r="C62">
        <v>8</v>
      </c>
      <c r="D62">
        <v>7</v>
      </c>
      <c r="E62">
        <v>1</v>
      </c>
      <c r="F62">
        <v>12.5</v>
      </c>
      <c r="G62">
        <v>6</v>
      </c>
      <c r="H62">
        <v>85.71</v>
      </c>
    </row>
    <row r="63" spans="1:8" x14ac:dyDescent="0.3">
      <c r="A63" t="s">
        <v>16</v>
      </c>
      <c r="B63" t="s">
        <v>90</v>
      </c>
      <c r="C63">
        <v>8</v>
      </c>
      <c r="D63">
        <v>7</v>
      </c>
      <c r="E63">
        <v>1</v>
      </c>
      <c r="F63">
        <v>12.5</v>
      </c>
      <c r="G63">
        <v>6</v>
      </c>
      <c r="H63">
        <v>85.71</v>
      </c>
    </row>
    <row r="64" spans="1:8" x14ac:dyDescent="0.3">
      <c r="A64" t="s">
        <v>16</v>
      </c>
      <c r="B64" t="s">
        <v>91</v>
      </c>
      <c r="C64">
        <v>8</v>
      </c>
      <c r="D64">
        <v>7</v>
      </c>
      <c r="E64">
        <v>1</v>
      </c>
      <c r="F64">
        <v>12.5</v>
      </c>
      <c r="G64">
        <v>7</v>
      </c>
      <c r="H64">
        <v>100</v>
      </c>
    </row>
    <row r="65" spans="1:8" x14ac:dyDescent="0.3">
      <c r="A65" t="s">
        <v>17</v>
      </c>
      <c r="B65" t="s">
        <v>85</v>
      </c>
      <c r="C65">
        <v>7</v>
      </c>
      <c r="D65">
        <v>6</v>
      </c>
      <c r="E65">
        <v>1</v>
      </c>
      <c r="F65">
        <v>14.29</v>
      </c>
      <c r="G65">
        <v>1</v>
      </c>
      <c r="H65">
        <v>16.670000000000002</v>
      </c>
    </row>
    <row r="66" spans="1:8" x14ac:dyDescent="0.3">
      <c r="A66" t="s">
        <v>17</v>
      </c>
      <c r="B66" t="s">
        <v>86</v>
      </c>
      <c r="C66">
        <v>7</v>
      </c>
      <c r="D66">
        <v>6</v>
      </c>
      <c r="E66">
        <v>1</v>
      </c>
      <c r="F66">
        <v>14.29</v>
      </c>
      <c r="G66">
        <v>0</v>
      </c>
      <c r="H66">
        <v>0</v>
      </c>
    </row>
    <row r="67" spans="1:8" x14ac:dyDescent="0.3">
      <c r="A67" t="s">
        <v>17</v>
      </c>
      <c r="B67" t="s">
        <v>87</v>
      </c>
      <c r="C67">
        <v>7</v>
      </c>
      <c r="D67">
        <v>6</v>
      </c>
      <c r="E67">
        <v>1</v>
      </c>
      <c r="F67">
        <v>14.29</v>
      </c>
      <c r="G67">
        <v>0</v>
      </c>
      <c r="H67">
        <v>0</v>
      </c>
    </row>
    <row r="68" spans="1:8" x14ac:dyDescent="0.3">
      <c r="A68" t="s">
        <v>17</v>
      </c>
      <c r="B68" t="s">
        <v>88</v>
      </c>
      <c r="C68">
        <v>7</v>
      </c>
      <c r="D68">
        <v>6</v>
      </c>
      <c r="E68">
        <v>1</v>
      </c>
      <c r="F68">
        <v>14.29</v>
      </c>
      <c r="G68">
        <v>1</v>
      </c>
      <c r="H68">
        <v>16.670000000000002</v>
      </c>
    </row>
    <row r="69" spans="1:8" x14ac:dyDescent="0.3">
      <c r="A69" t="s">
        <v>17</v>
      </c>
      <c r="B69" t="s">
        <v>89</v>
      </c>
      <c r="C69">
        <v>7</v>
      </c>
      <c r="D69">
        <v>6</v>
      </c>
      <c r="E69">
        <v>1</v>
      </c>
      <c r="F69">
        <v>14.29</v>
      </c>
      <c r="G69">
        <v>2</v>
      </c>
      <c r="H69">
        <v>33.33</v>
      </c>
    </row>
    <row r="70" spans="1:8" x14ac:dyDescent="0.3">
      <c r="A70" t="s">
        <v>17</v>
      </c>
      <c r="B70" t="s">
        <v>90</v>
      </c>
      <c r="C70">
        <v>7</v>
      </c>
      <c r="D70">
        <v>6</v>
      </c>
      <c r="E70">
        <v>1</v>
      </c>
      <c r="F70">
        <v>14.29</v>
      </c>
      <c r="G70">
        <v>1</v>
      </c>
      <c r="H70">
        <v>16.670000000000002</v>
      </c>
    </row>
    <row r="71" spans="1:8" x14ac:dyDescent="0.3">
      <c r="A71" t="s">
        <v>17</v>
      </c>
      <c r="B71" t="s">
        <v>91</v>
      </c>
      <c r="C71">
        <v>7</v>
      </c>
      <c r="D71">
        <v>6</v>
      </c>
      <c r="E71">
        <v>1</v>
      </c>
      <c r="F71">
        <v>14.29</v>
      </c>
      <c r="G71">
        <v>5</v>
      </c>
      <c r="H71">
        <v>83.33</v>
      </c>
    </row>
    <row r="72" spans="1:8" x14ac:dyDescent="0.3">
      <c r="A72" t="s">
        <v>18</v>
      </c>
      <c r="B72" t="s">
        <v>85</v>
      </c>
      <c r="C72">
        <v>187</v>
      </c>
      <c r="D72">
        <v>168</v>
      </c>
      <c r="E72">
        <v>19</v>
      </c>
      <c r="F72">
        <v>10.16</v>
      </c>
      <c r="G72">
        <v>8</v>
      </c>
      <c r="H72">
        <v>4.76</v>
      </c>
    </row>
    <row r="73" spans="1:8" x14ac:dyDescent="0.3">
      <c r="A73" t="s">
        <v>18</v>
      </c>
      <c r="B73" t="s">
        <v>86</v>
      </c>
      <c r="C73">
        <v>187</v>
      </c>
      <c r="D73">
        <v>146</v>
      </c>
      <c r="E73">
        <v>41</v>
      </c>
      <c r="F73">
        <v>21.93</v>
      </c>
      <c r="G73">
        <v>17</v>
      </c>
      <c r="H73">
        <v>11.64</v>
      </c>
    </row>
    <row r="74" spans="1:8" x14ac:dyDescent="0.3">
      <c r="A74" t="s">
        <v>18</v>
      </c>
      <c r="B74" t="s">
        <v>87</v>
      </c>
      <c r="C74">
        <v>187</v>
      </c>
      <c r="D74">
        <v>173</v>
      </c>
      <c r="E74">
        <v>14</v>
      </c>
      <c r="F74">
        <v>7.49</v>
      </c>
      <c r="G74">
        <v>21</v>
      </c>
      <c r="H74">
        <v>12.14</v>
      </c>
    </row>
    <row r="75" spans="1:8" x14ac:dyDescent="0.3">
      <c r="A75" t="s">
        <v>18</v>
      </c>
      <c r="B75" t="s">
        <v>88</v>
      </c>
      <c r="C75">
        <v>187</v>
      </c>
      <c r="D75">
        <v>169</v>
      </c>
      <c r="E75">
        <v>18</v>
      </c>
      <c r="F75">
        <v>9.6300000000000008</v>
      </c>
      <c r="G75">
        <v>104</v>
      </c>
      <c r="H75">
        <v>61.54</v>
      </c>
    </row>
    <row r="76" spans="1:8" x14ac:dyDescent="0.3">
      <c r="A76" t="s">
        <v>18</v>
      </c>
      <c r="B76" t="s">
        <v>89</v>
      </c>
      <c r="C76">
        <v>187</v>
      </c>
      <c r="D76">
        <v>175</v>
      </c>
      <c r="E76">
        <v>12</v>
      </c>
      <c r="F76">
        <v>6.42</v>
      </c>
      <c r="G76">
        <v>91</v>
      </c>
      <c r="H76">
        <v>52</v>
      </c>
    </row>
    <row r="77" spans="1:8" x14ac:dyDescent="0.3">
      <c r="A77" t="s">
        <v>18</v>
      </c>
      <c r="B77" t="s">
        <v>90</v>
      </c>
      <c r="C77">
        <v>187</v>
      </c>
      <c r="D77">
        <v>157</v>
      </c>
      <c r="E77">
        <v>30</v>
      </c>
      <c r="F77">
        <v>16.04</v>
      </c>
      <c r="G77">
        <v>34</v>
      </c>
      <c r="H77">
        <v>21.66</v>
      </c>
    </row>
    <row r="78" spans="1:8" x14ac:dyDescent="0.3">
      <c r="A78" t="s">
        <v>18</v>
      </c>
      <c r="B78" t="s">
        <v>91</v>
      </c>
      <c r="C78">
        <v>187</v>
      </c>
      <c r="D78">
        <v>167</v>
      </c>
      <c r="E78">
        <v>20</v>
      </c>
      <c r="F78">
        <v>10.7</v>
      </c>
      <c r="G78">
        <v>64</v>
      </c>
      <c r="H78">
        <v>38.32</v>
      </c>
    </row>
    <row r="79" spans="1:8" x14ac:dyDescent="0.3">
      <c r="A79" t="s">
        <v>19</v>
      </c>
      <c r="B79" t="s">
        <v>85</v>
      </c>
      <c r="C79">
        <v>133</v>
      </c>
      <c r="D79">
        <v>112</v>
      </c>
      <c r="E79">
        <v>21</v>
      </c>
      <c r="F79">
        <v>15.79</v>
      </c>
      <c r="G79">
        <v>6</v>
      </c>
      <c r="H79">
        <v>5.36</v>
      </c>
    </row>
    <row r="80" spans="1:8" x14ac:dyDescent="0.3">
      <c r="A80" t="s">
        <v>19</v>
      </c>
      <c r="B80" t="s">
        <v>86</v>
      </c>
      <c r="C80">
        <v>133</v>
      </c>
      <c r="D80">
        <v>76</v>
      </c>
      <c r="E80">
        <v>57</v>
      </c>
      <c r="F80">
        <v>42.86</v>
      </c>
      <c r="G80">
        <v>11</v>
      </c>
      <c r="H80">
        <v>14.47</v>
      </c>
    </row>
    <row r="81" spans="1:8" x14ac:dyDescent="0.3">
      <c r="A81" t="s">
        <v>19</v>
      </c>
      <c r="B81" t="s">
        <v>87</v>
      </c>
      <c r="C81">
        <v>133</v>
      </c>
      <c r="D81">
        <v>101</v>
      </c>
      <c r="E81">
        <v>32</v>
      </c>
      <c r="F81">
        <v>24.06</v>
      </c>
      <c r="G81">
        <v>9</v>
      </c>
      <c r="H81">
        <v>8.91</v>
      </c>
    </row>
    <row r="82" spans="1:8" x14ac:dyDescent="0.3">
      <c r="A82" t="s">
        <v>19</v>
      </c>
      <c r="B82" t="s">
        <v>88</v>
      </c>
      <c r="C82">
        <v>133</v>
      </c>
      <c r="D82">
        <v>95</v>
      </c>
      <c r="E82">
        <v>38</v>
      </c>
      <c r="F82">
        <v>28.57</v>
      </c>
      <c r="G82">
        <v>35</v>
      </c>
      <c r="H82">
        <v>36.840000000000003</v>
      </c>
    </row>
    <row r="83" spans="1:8" x14ac:dyDescent="0.3">
      <c r="A83" t="s">
        <v>19</v>
      </c>
      <c r="B83" t="s">
        <v>89</v>
      </c>
      <c r="C83">
        <v>133</v>
      </c>
      <c r="D83">
        <v>111</v>
      </c>
      <c r="E83">
        <v>22</v>
      </c>
      <c r="F83">
        <v>16.54</v>
      </c>
      <c r="G83">
        <v>23</v>
      </c>
      <c r="H83">
        <v>20.72</v>
      </c>
    </row>
    <row r="84" spans="1:8" x14ac:dyDescent="0.3">
      <c r="A84" t="s">
        <v>19</v>
      </c>
      <c r="B84" t="s">
        <v>90</v>
      </c>
      <c r="C84">
        <v>133</v>
      </c>
      <c r="D84">
        <v>77</v>
      </c>
      <c r="E84">
        <v>56</v>
      </c>
      <c r="F84">
        <v>42.11</v>
      </c>
      <c r="G84">
        <v>25</v>
      </c>
      <c r="H84">
        <v>32.47</v>
      </c>
    </row>
    <row r="85" spans="1:8" x14ac:dyDescent="0.3">
      <c r="A85" t="s">
        <v>19</v>
      </c>
      <c r="B85" t="s">
        <v>91</v>
      </c>
      <c r="C85">
        <v>133</v>
      </c>
      <c r="D85">
        <v>116</v>
      </c>
      <c r="E85">
        <v>17</v>
      </c>
      <c r="F85">
        <v>12.78</v>
      </c>
      <c r="G85">
        <v>33</v>
      </c>
      <c r="H85">
        <v>28.45</v>
      </c>
    </row>
    <row r="86" spans="1:8" x14ac:dyDescent="0.3">
      <c r="A86" t="s">
        <v>20</v>
      </c>
      <c r="B86" t="s">
        <v>85</v>
      </c>
      <c r="C86">
        <v>2</v>
      </c>
      <c r="D86">
        <v>1</v>
      </c>
      <c r="E86">
        <v>1</v>
      </c>
      <c r="F86">
        <v>50</v>
      </c>
      <c r="G86">
        <v>0</v>
      </c>
      <c r="H86">
        <v>0</v>
      </c>
    </row>
    <row r="87" spans="1:8" x14ac:dyDescent="0.3">
      <c r="A87" t="s">
        <v>20</v>
      </c>
      <c r="B87" t="s">
        <v>86</v>
      </c>
      <c r="C87">
        <v>2</v>
      </c>
      <c r="D87">
        <v>0</v>
      </c>
      <c r="E87">
        <v>2</v>
      </c>
      <c r="F87">
        <v>100</v>
      </c>
      <c r="G87">
        <v>0</v>
      </c>
    </row>
    <row r="88" spans="1:8" x14ac:dyDescent="0.3">
      <c r="A88" t="s">
        <v>20</v>
      </c>
      <c r="B88" t="s">
        <v>87</v>
      </c>
      <c r="C88">
        <v>2</v>
      </c>
      <c r="D88">
        <v>1</v>
      </c>
      <c r="E88">
        <v>1</v>
      </c>
      <c r="F88">
        <v>50</v>
      </c>
      <c r="G88">
        <v>1</v>
      </c>
      <c r="H88">
        <v>100</v>
      </c>
    </row>
    <row r="89" spans="1:8" x14ac:dyDescent="0.3">
      <c r="A89" t="s">
        <v>20</v>
      </c>
      <c r="B89" t="s">
        <v>88</v>
      </c>
      <c r="C89">
        <v>2</v>
      </c>
      <c r="D89">
        <v>0</v>
      </c>
      <c r="E89">
        <v>2</v>
      </c>
      <c r="F89">
        <v>100</v>
      </c>
      <c r="G89">
        <v>0</v>
      </c>
    </row>
    <row r="90" spans="1:8" x14ac:dyDescent="0.3">
      <c r="A90" t="s">
        <v>20</v>
      </c>
      <c r="B90" t="s">
        <v>89</v>
      </c>
      <c r="C90">
        <v>2</v>
      </c>
      <c r="D90">
        <v>1</v>
      </c>
      <c r="E90">
        <v>1</v>
      </c>
      <c r="F90">
        <v>50</v>
      </c>
      <c r="G90">
        <v>0</v>
      </c>
      <c r="H90">
        <v>0</v>
      </c>
    </row>
    <row r="91" spans="1:8" x14ac:dyDescent="0.3">
      <c r="A91" t="s">
        <v>20</v>
      </c>
      <c r="B91" t="s">
        <v>90</v>
      </c>
      <c r="C91">
        <v>2</v>
      </c>
      <c r="D91">
        <v>0</v>
      </c>
      <c r="E91">
        <v>2</v>
      </c>
      <c r="F91">
        <v>100</v>
      </c>
      <c r="G91">
        <v>0</v>
      </c>
    </row>
    <row r="92" spans="1:8" x14ac:dyDescent="0.3">
      <c r="A92" t="s">
        <v>20</v>
      </c>
      <c r="B92" t="s">
        <v>91</v>
      </c>
      <c r="C92">
        <v>2</v>
      </c>
      <c r="D92">
        <v>0</v>
      </c>
      <c r="E92">
        <v>2</v>
      </c>
      <c r="F92">
        <v>100</v>
      </c>
      <c r="G92">
        <v>0</v>
      </c>
    </row>
    <row r="93" spans="1:8" x14ac:dyDescent="0.3">
      <c r="A93" t="s">
        <v>21</v>
      </c>
      <c r="B93" t="s">
        <v>85</v>
      </c>
      <c r="C93">
        <v>23</v>
      </c>
      <c r="D93">
        <v>13</v>
      </c>
      <c r="E93">
        <v>10</v>
      </c>
      <c r="F93">
        <v>43.48</v>
      </c>
      <c r="G93">
        <v>0</v>
      </c>
      <c r="H93">
        <v>0</v>
      </c>
    </row>
    <row r="94" spans="1:8" x14ac:dyDescent="0.3">
      <c r="A94" t="s">
        <v>21</v>
      </c>
      <c r="B94" t="s">
        <v>86</v>
      </c>
      <c r="C94">
        <v>23</v>
      </c>
      <c r="D94">
        <v>9</v>
      </c>
      <c r="E94">
        <v>14</v>
      </c>
      <c r="F94">
        <v>60.87</v>
      </c>
      <c r="G94">
        <v>1</v>
      </c>
      <c r="H94">
        <v>11.11</v>
      </c>
    </row>
    <row r="95" spans="1:8" x14ac:dyDescent="0.3">
      <c r="A95" t="s">
        <v>21</v>
      </c>
      <c r="B95" t="s">
        <v>87</v>
      </c>
      <c r="C95">
        <v>23</v>
      </c>
      <c r="D95">
        <v>12</v>
      </c>
      <c r="E95">
        <v>11</v>
      </c>
      <c r="F95">
        <v>47.83</v>
      </c>
      <c r="G95">
        <v>0</v>
      </c>
      <c r="H95">
        <v>0</v>
      </c>
    </row>
    <row r="96" spans="1:8" x14ac:dyDescent="0.3">
      <c r="A96" t="s">
        <v>21</v>
      </c>
      <c r="B96" t="s">
        <v>88</v>
      </c>
      <c r="C96">
        <v>23</v>
      </c>
      <c r="D96">
        <v>13</v>
      </c>
      <c r="E96">
        <v>10</v>
      </c>
      <c r="F96">
        <v>43.48</v>
      </c>
      <c r="G96">
        <v>3</v>
      </c>
      <c r="H96">
        <v>23.08</v>
      </c>
    </row>
    <row r="97" spans="1:8" x14ac:dyDescent="0.3">
      <c r="A97" t="s">
        <v>21</v>
      </c>
      <c r="B97" t="s">
        <v>89</v>
      </c>
      <c r="C97">
        <v>23</v>
      </c>
      <c r="D97">
        <v>13</v>
      </c>
      <c r="E97">
        <v>10</v>
      </c>
      <c r="F97">
        <v>43.48</v>
      </c>
      <c r="G97">
        <v>0</v>
      </c>
      <c r="H97">
        <v>0</v>
      </c>
    </row>
    <row r="98" spans="1:8" x14ac:dyDescent="0.3">
      <c r="A98" t="s">
        <v>21</v>
      </c>
      <c r="B98" t="s">
        <v>90</v>
      </c>
      <c r="C98">
        <v>23</v>
      </c>
      <c r="D98">
        <v>11</v>
      </c>
      <c r="E98">
        <v>12</v>
      </c>
      <c r="F98">
        <v>52.17</v>
      </c>
      <c r="G98">
        <v>1</v>
      </c>
      <c r="H98">
        <v>9.09</v>
      </c>
    </row>
    <row r="99" spans="1:8" x14ac:dyDescent="0.3">
      <c r="A99" t="s">
        <v>21</v>
      </c>
      <c r="B99" t="s">
        <v>91</v>
      </c>
      <c r="C99">
        <v>23</v>
      </c>
      <c r="D99">
        <v>13</v>
      </c>
      <c r="E99">
        <v>10</v>
      </c>
      <c r="F99">
        <v>43.48</v>
      </c>
      <c r="G99">
        <v>4</v>
      </c>
      <c r="H99">
        <v>30.77</v>
      </c>
    </row>
    <row r="100" spans="1:8" x14ac:dyDescent="0.3">
      <c r="A100" t="s">
        <v>22</v>
      </c>
      <c r="B100" t="s">
        <v>85</v>
      </c>
      <c r="C100">
        <v>116</v>
      </c>
      <c r="D100">
        <v>66</v>
      </c>
      <c r="E100">
        <v>50</v>
      </c>
      <c r="F100">
        <v>43.1</v>
      </c>
      <c r="G100">
        <v>1</v>
      </c>
      <c r="H100">
        <v>1.52</v>
      </c>
    </row>
    <row r="101" spans="1:8" x14ac:dyDescent="0.3">
      <c r="A101" t="s">
        <v>22</v>
      </c>
      <c r="B101" t="s">
        <v>86</v>
      </c>
      <c r="C101">
        <v>116</v>
      </c>
      <c r="D101">
        <v>44</v>
      </c>
      <c r="E101">
        <v>72</v>
      </c>
      <c r="F101">
        <v>62.07</v>
      </c>
      <c r="G101">
        <v>9</v>
      </c>
      <c r="H101">
        <v>20.45</v>
      </c>
    </row>
    <row r="102" spans="1:8" x14ac:dyDescent="0.3">
      <c r="A102" t="s">
        <v>22</v>
      </c>
      <c r="B102" t="s">
        <v>87</v>
      </c>
      <c r="C102">
        <v>116</v>
      </c>
      <c r="D102">
        <v>77</v>
      </c>
      <c r="E102">
        <v>39</v>
      </c>
      <c r="F102">
        <v>33.619999999999997</v>
      </c>
      <c r="G102">
        <v>6</v>
      </c>
      <c r="H102">
        <v>7.79</v>
      </c>
    </row>
    <row r="103" spans="1:8" x14ac:dyDescent="0.3">
      <c r="A103" t="s">
        <v>22</v>
      </c>
      <c r="B103" t="s">
        <v>88</v>
      </c>
      <c r="C103">
        <v>116</v>
      </c>
      <c r="D103">
        <v>59</v>
      </c>
      <c r="E103">
        <v>57</v>
      </c>
      <c r="F103">
        <v>49.14</v>
      </c>
      <c r="G103">
        <v>5</v>
      </c>
      <c r="H103">
        <v>8.4700000000000006</v>
      </c>
    </row>
    <row r="104" spans="1:8" x14ac:dyDescent="0.3">
      <c r="A104" t="s">
        <v>22</v>
      </c>
      <c r="B104" t="s">
        <v>89</v>
      </c>
      <c r="C104">
        <v>116</v>
      </c>
      <c r="D104">
        <v>92</v>
      </c>
      <c r="E104">
        <v>24</v>
      </c>
      <c r="F104">
        <v>20.69</v>
      </c>
      <c r="G104">
        <v>4</v>
      </c>
      <c r="H104">
        <v>4.3499999999999996</v>
      </c>
    </row>
    <row r="105" spans="1:8" x14ac:dyDescent="0.3">
      <c r="A105" t="s">
        <v>22</v>
      </c>
      <c r="B105" t="s">
        <v>90</v>
      </c>
      <c r="C105">
        <v>116</v>
      </c>
      <c r="D105">
        <v>32</v>
      </c>
      <c r="E105">
        <v>84</v>
      </c>
      <c r="F105">
        <v>72.41</v>
      </c>
      <c r="G105">
        <v>6</v>
      </c>
      <c r="H105">
        <v>18.75</v>
      </c>
    </row>
    <row r="106" spans="1:8" x14ac:dyDescent="0.3">
      <c r="A106" t="s">
        <v>22</v>
      </c>
      <c r="B106" t="s">
        <v>91</v>
      </c>
      <c r="C106">
        <v>116</v>
      </c>
      <c r="D106">
        <v>66</v>
      </c>
      <c r="E106">
        <v>50</v>
      </c>
      <c r="F106">
        <v>43.1</v>
      </c>
      <c r="G106">
        <v>1</v>
      </c>
      <c r="H106">
        <v>1.52</v>
      </c>
    </row>
    <row r="107" spans="1:8" x14ac:dyDescent="0.3">
      <c r="A107" t="s">
        <v>23</v>
      </c>
      <c r="B107" t="s">
        <v>85</v>
      </c>
      <c r="C107">
        <v>41</v>
      </c>
      <c r="D107">
        <v>18</v>
      </c>
      <c r="E107">
        <v>23</v>
      </c>
      <c r="F107">
        <v>56.1</v>
      </c>
      <c r="G107">
        <v>0</v>
      </c>
      <c r="H107">
        <v>0</v>
      </c>
    </row>
    <row r="108" spans="1:8" x14ac:dyDescent="0.3">
      <c r="A108" t="s">
        <v>23</v>
      </c>
      <c r="B108" t="s">
        <v>86</v>
      </c>
      <c r="C108">
        <v>41</v>
      </c>
      <c r="D108">
        <v>16</v>
      </c>
      <c r="E108">
        <v>25</v>
      </c>
      <c r="F108">
        <v>60.98</v>
      </c>
      <c r="G108">
        <v>0</v>
      </c>
      <c r="H108">
        <v>0</v>
      </c>
    </row>
    <row r="109" spans="1:8" x14ac:dyDescent="0.3">
      <c r="A109" t="s">
        <v>23</v>
      </c>
      <c r="B109" t="s">
        <v>87</v>
      </c>
      <c r="C109">
        <v>41</v>
      </c>
      <c r="D109">
        <v>18</v>
      </c>
      <c r="E109">
        <v>23</v>
      </c>
      <c r="F109">
        <v>56.1</v>
      </c>
      <c r="G109">
        <v>2</v>
      </c>
      <c r="H109">
        <v>11.11</v>
      </c>
    </row>
    <row r="110" spans="1:8" x14ac:dyDescent="0.3">
      <c r="A110" t="s">
        <v>23</v>
      </c>
      <c r="B110" t="s">
        <v>88</v>
      </c>
      <c r="C110">
        <v>41</v>
      </c>
      <c r="D110">
        <v>25</v>
      </c>
      <c r="E110">
        <v>16</v>
      </c>
      <c r="F110">
        <v>39.020000000000003</v>
      </c>
      <c r="G110">
        <v>3</v>
      </c>
      <c r="H110">
        <v>12</v>
      </c>
    </row>
    <row r="111" spans="1:8" x14ac:dyDescent="0.3">
      <c r="A111" t="s">
        <v>23</v>
      </c>
      <c r="B111" t="s">
        <v>89</v>
      </c>
      <c r="C111">
        <v>41</v>
      </c>
      <c r="D111">
        <v>27</v>
      </c>
      <c r="E111">
        <v>14</v>
      </c>
      <c r="F111">
        <v>34.15</v>
      </c>
      <c r="G111">
        <v>0</v>
      </c>
      <c r="H111">
        <v>0</v>
      </c>
    </row>
    <row r="112" spans="1:8" x14ac:dyDescent="0.3">
      <c r="A112" t="s">
        <v>23</v>
      </c>
      <c r="B112" t="s">
        <v>90</v>
      </c>
      <c r="C112">
        <v>41</v>
      </c>
      <c r="D112">
        <v>10</v>
      </c>
      <c r="E112">
        <v>31</v>
      </c>
      <c r="F112">
        <v>75.61</v>
      </c>
      <c r="G112">
        <v>1</v>
      </c>
      <c r="H112">
        <v>10</v>
      </c>
    </row>
    <row r="113" spans="1:8" x14ac:dyDescent="0.3">
      <c r="A113" t="s">
        <v>23</v>
      </c>
      <c r="B113" t="s">
        <v>91</v>
      </c>
      <c r="C113">
        <v>41</v>
      </c>
      <c r="D113">
        <v>15</v>
      </c>
      <c r="E113">
        <v>26</v>
      </c>
      <c r="F113">
        <v>63.41</v>
      </c>
      <c r="G113">
        <v>0</v>
      </c>
      <c r="H113">
        <v>0</v>
      </c>
    </row>
    <row r="114" spans="1:8" x14ac:dyDescent="0.3">
      <c r="A114" t="s">
        <v>24</v>
      </c>
      <c r="B114" t="s">
        <v>85</v>
      </c>
      <c r="C114">
        <v>180</v>
      </c>
      <c r="D114">
        <v>145</v>
      </c>
      <c r="E114">
        <v>35</v>
      </c>
      <c r="F114">
        <v>19.440000000000001</v>
      </c>
      <c r="G114">
        <v>9</v>
      </c>
      <c r="H114">
        <v>6.21</v>
      </c>
    </row>
    <row r="115" spans="1:8" x14ac:dyDescent="0.3">
      <c r="A115" t="s">
        <v>24</v>
      </c>
      <c r="B115" t="s">
        <v>86</v>
      </c>
      <c r="C115">
        <v>180</v>
      </c>
      <c r="D115">
        <v>127</v>
      </c>
      <c r="E115">
        <v>53</v>
      </c>
      <c r="F115">
        <v>29.44</v>
      </c>
      <c r="G115">
        <v>12</v>
      </c>
      <c r="H115">
        <v>9.4499999999999993</v>
      </c>
    </row>
    <row r="116" spans="1:8" x14ac:dyDescent="0.3">
      <c r="A116" t="s">
        <v>24</v>
      </c>
      <c r="B116" t="s">
        <v>87</v>
      </c>
      <c r="C116">
        <v>180</v>
      </c>
      <c r="D116">
        <v>166</v>
      </c>
      <c r="E116">
        <v>14</v>
      </c>
      <c r="F116">
        <v>7.78</v>
      </c>
      <c r="G116">
        <v>13</v>
      </c>
      <c r="H116">
        <v>7.83</v>
      </c>
    </row>
    <row r="117" spans="1:8" x14ac:dyDescent="0.3">
      <c r="A117" t="s">
        <v>24</v>
      </c>
      <c r="B117" t="s">
        <v>88</v>
      </c>
      <c r="C117">
        <v>180</v>
      </c>
      <c r="D117">
        <v>145</v>
      </c>
      <c r="E117">
        <v>35</v>
      </c>
      <c r="F117">
        <v>19.440000000000001</v>
      </c>
      <c r="G117">
        <v>36</v>
      </c>
      <c r="H117">
        <v>24.83</v>
      </c>
    </row>
    <row r="118" spans="1:8" x14ac:dyDescent="0.3">
      <c r="A118" t="s">
        <v>24</v>
      </c>
      <c r="B118" t="s">
        <v>89</v>
      </c>
      <c r="C118">
        <v>180</v>
      </c>
      <c r="D118">
        <v>170</v>
      </c>
      <c r="E118">
        <v>10</v>
      </c>
      <c r="F118">
        <v>5.56</v>
      </c>
      <c r="G118">
        <v>48</v>
      </c>
      <c r="H118">
        <v>28.24</v>
      </c>
    </row>
    <row r="119" spans="1:8" x14ac:dyDescent="0.3">
      <c r="A119" t="s">
        <v>24</v>
      </c>
      <c r="B119" t="s">
        <v>90</v>
      </c>
      <c r="C119">
        <v>180</v>
      </c>
      <c r="D119">
        <v>114</v>
      </c>
      <c r="E119">
        <v>66</v>
      </c>
      <c r="F119">
        <v>36.67</v>
      </c>
      <c r="G119">
        <v>35</v>
      </c>
      <c r="H119">
        <v>30.7</v>
      </c>
    </row>
    <row r="120" spans="1:8" x14ac:dyDescent="0.3">
      <c r="A120" t="s">
        <v>24</v>
      </c>
      <c r="B120" t="s">
        <v>91</v>
      </c>
      <c r="C120">
        <v>180</v>
      </c>
      <c r="D120">
        <v>149</v>
      </c>
      <c r="E120">
        <v>31</v>
      </c>
      <c r="F120">
        <v>17.22</v>
      </c>
      <c r="G120">
        <v>36</v>
      </c>
      <c r="H120">
        <v>24.16</v>
      </c>
    </row>
    <row r="121" spans="1:8" x14ac:dyDescent="0.3">
      <c r="A121" t="s">
        <v>25</v>
      </c>
      <c r="B121" t="s">
        <v>85</v>
      </c>
      <c r="C121">
        <v>120</v>
      </c>
      <c r="D121">
        <v>105</v>
      </c>
      <c r="E121">
        <v>15</v>
      </c>
      <c r="F121">
        <v>12.5</v>
      </c>
      <c r="G121">
        <v>3</v>
      </c>
      <c r="H121">
        <v>2.86</v>
      </c>
    </row>
    <row r="122" spans="1:8" x14ac:dyDescent="0.3">
      <c r="A122" t="s">
        <v>25</v>
      </c>
      <c r="B122" t="s">
        <v>86</v>
      </c>
      <c r="C122">
        <v>120</v>
      </c>
      <c r="D122">
        <v>88</v>
      </c>
      <c r="E122">
        <v>32</v>
      </c>
      <c r="F122">
        <v>26.67</v>
      </c>
      <c r="G122">
        <v>9</v>
      </c>
      <c r="H122">
        <v>10.23</v>
      </c>
    </row>
    <row r="123" spans="1:8" x14ac:dyDescent="0.3">
      <c r="A123" t="s">
        <v>25</v>
      </c>
      <c r="B123" t="s">
        <v>87</v>
      </c>
      <c r="C123">
        <v>120</v>
      </c>
      <c r="D123">
        <v>103</v>
      </c>
      <c r="E123">
        <v>17</v>
      </c>
      <c r="F123">
        <v>14.17</v>
      </c>
      <c r="G123">
        <v>10</v>
      </c>
      <c r="H123">
        <v>9.7100000000000009</v>
      </c>
    </row>
    <row r="124" spans="1:8" x14ac:dyDescent="0.3">
      <c r="A124" t="s">
        <v>25</v>
      </c>
      <c r="B124" t="s">
        <v>88</v>
      </c>
      <c r="C124">
        <v>120</v>
      </c>
      <c r="D124">
        <v>108</v>
      </c>
      <c r="E124">
        <v>12</v>
      </c>
      <c r="F124">
        <v>10</v>
      </c>
      <c r="G124">
        <v>11</v>
      </c>
      <c r="H124">
        <v>10.19</v>
      </c>
    </row>
    <row r="125" spans="1:8" x14ac:dyDescent="0.3">
      <c r="A125" t="s">
        <v>25</v>
      </c>
      <c r="B125" t="s">
        <v>89</v>
      </c>
      <c r="C125">
        <v>120</v>
      </c>
      <c r="D125">
        <v>110</v>
      </c>
      <c r="E125">
        <v>10</v>
      </c>
      <c r="F125">
        <v>8.33</v>
      </c>
      <c r="G125">
        <v>12</v>
      </c>
      <c r="H125">
        <v>10.91</v>
      </c>
    </row>
    <row r="126" spans="1:8" x14ac:dyDescent="0.3">
      <c r="A126" t="s">
        <v>25</v>
      </c>
      <c r="B126" t="s">
        <v>90</v>
      </c>
      <c r="C126">
        <v>120</v>
      </c>
      <c r="D126">
        <v>69</v>
      </c>
      <c r="E126">
        <v>51</v>
      </c>
      <c r="F126">
        <v>42.5</v>
      </c>
      <c r="G126">
        <v>8</v>
      </c>
      <c r="H126">
        <v>11.59</v>
      </c>
    </row>
    <row r="127" spans="1:8" x14ac:dyDescent="0.3">
      <c r="A127" t="s">
        <v>25</v>
      </c>
      <c r="B127" t="s">
        <v>91</v>
      </c>
      <c r="C127">
        <v>120</v>
      </c>
      <c r="D127">
        <v>104</v>
      </c>
      <c r="E127">
        <v>16</v>
      </c>
      <c r="F127">
        <v>13.33</v>
      </c>
      <c r="G127">
        <v>8</v>
      </c>
      <c r="H127">
        <v>7.69</v>
      </c>
    </row>
    <row r="128" spans="1:8" x14ac:dyDescent="0.3">
      <c r="A128" t="s">
        <v>26</v>
      </c>
      <c r="B128" t="s">
        <v>85</v>
      </c>
      <c r="C128">
        <v>137</v>
      </c>
      <c r="D128">
        <v>58</v>
      </c>
      <c r="E128">
        <v>79</v>
      </c>
      <c r="F128">
        <v>57.66</v>
      </c>
      <c r="G128">
        <v>3</v>
      </c>
      <c r="H128">
        <v>5.17</v>
      </c>
    </row>
    <row r="129" spans="1:8" x14ac:dyDescent="0.3">
      <c r="A129" t="s">
        <v>26</v>
      </c>
      <c r="B129" t="s">
        <v>86</v>
      </c>
      <c r="C129">
        <v>137</v>
      </c>
      <c r="D129">
        <v>48</v>
      </c>
      <c r="E129">
        <v>89</v>
      </c>
      <c r="F129">
        <v>64.959999999999994</v>
      </c>
      <c r="G129">
        <v>11</v>
      </c>
      <c r="H129">
        <v>22.92</v>
      </c>
    </row>
    <row r="130" spans="1:8" x14ac:dyDescent="0.3">
      <c r="A130" t="s">
        <v>26</v>
      </c>
      <c r="B130" t="s">
        <v>87</v>
      </c>
      <c r="C130">
        <v>137</v>
      </c>
      <c r="D130">
        <v>66</v>
      </c>
      <c r="E130">
        <v>71</v>
      </c>
      <c r="F130">
        <v>51.82</v>
      </c>
      <c r="G130">
        <v>4</v>
      </c>
      <c r="H130">
        <v>6.06</v>
      </c>
    </row>
    <row r="131" spans="1:8" x14ac:dyDescent="0.3">
      <c r="A131" t="s">
        <v>26</v>
      </c>
      <c r="B131" t="s">
        <v>88</v>
      </c>
      <c r="C131">
        <v>137</v>
      </c>
      <c r="D131">
        <v>60</v>
      </c>
      <c r="E131">
        <v>77</v>
      </c>
      <c r="F131">
        <v>56.2</v>
      </c>
      <c r="G131">
        <v>5</v>
      </c>
      <c r="H131">
        <v>8.33</v>
      </c>
    </row>
    <row r="132" spans="1:8" x14ac:dyDescent="0.3">
      <c r="A132" t="s">
        <v>26</v>
      </c>
      <c r="B132" t="s">
        <v>89</v>
      </c>
      <c r="C132">
        <v>137</v>
      </c>
      <c r="D132">
        <v>82</v>
      </c>
      <c r="E132">
        <v>55</v>
      </c>
      <c r="F132">
        <v>40.15</v>
      </c>
      <c r="G132">
        <v>6</v>
      </c>
      <c r="H132">
        <v>7.32</v>
      </c>
    </row>
    <row r="133" spans="1:8" x14ac:dyDescent="0.3">
      <c r="A133" t="s">
        <v>26</v>
      </c>
      <c r="B133" t="s">
        <v>90</v>
      </c>
      <c r="C133">
        <v>137</v>
      </c>
      <c r="D133">
        <v>31</v>
      </c>
      <c r="E133">
        <v>106</v>
      </c>
      <c r="F133">
        <v>77.37</v>
      </c>
      <c r="G133">
        <v>7</v>
      </c>
      <c r="H133">
        <v>22.58</v>
      </c>
    </row>
    <row r="134" spans="1:8" x14ac:dyDescent="0.3">
      <c r="A134" t="s">
        <v>26</v>
      </c>
      <c r="B134" t="s">
        <v>91</v>
      </c>
      <c r="C134">
        <v>137</v>
      </c>
      <c r="D134">
        <v>63</v>
      </c>
      <c r="E134">
        <v>74</v>
      </c>
      <c r="F134">
        <v>54.01</v>
      </c>
      <c r="G134">
        <v>1</v>
      </c>
      <c r="H134">
        <v>1.59</v>
      </c>
    </row>
    <row r="135" spans="1:8" x14ac:dyDescent="0.3">
      <c r="A135" t="s">
        <v>27</v>
      </c>
      <c r="B135" t="s">
        <v>85</v>
      </c>
      <c r="C135">
        <v>94</v>
      </c>
      <c r="D135">
        <v>73</v>
      </c>
      <c r="E135">
        <v>21</v>
      </c>
      <c r="F135">
        <v>22.34</v>
      </c>
      <c r="G135">
        <v>10</v>
      </c>
      <c r="H135">
        <v>13.7</v>
      </c>
    </row>
    <row r="136" spans="1:8" x14ac:dyDescent="0.3">
      <c r="A136" t="s">
        <v>27</v>
      </c>
      <c r="B136" t="s">
        <v>86</v>
      </c>
      <c r="C136">
        <v>94</v>
      </c>
      <c r="D136">
        <v>68</v>
      </c>
      <c r="E136">
        <v>26</v>
      </c>
      <c r="F136">
        <v>27.66</v>
      </c>
      <c r="G136">
        <v>13</v>
      </c>
      <c r="H136">
        <v>19.12</v>
      </c>
    </row>
    <row r="137" spans="1:8" x14ac:dyDescent="0.3">
      <c r="A137" t="s">
        <v>27</v>
      </c>
      <c r="B137" t="s">
        <v>87</v>
      </c>
      <c r="C137">
        <v>94</v>
      </c>
      <c r="D137">
        <v>85</v>
      </c>
      <c r="E137">
        <v>9</v>
      </c>
      <c r="F137">
        <v>9.57</v>
      </c>
      <c r="G137">
        <v>7</v>
      </c>
      <c r="H137">
        <v>8.24</v>
      </c>
    </row>
    <row r="138" spans="1:8" x14ac:dyDescent="0.3">
      <c r="A138" t="s">
        <v>27</v>
      </c>
      <c r="B138" t="s">
        <v>88</v>
      </c>
      <c r="C138">
        <v>94</v>
      </c>
      <c r="D138">
        <v>75</v>
      </c>
      <c r="E138">
        <v>19</v>
      </c>
      <c r="F138">
        <v>20.21</v>
      </c>
      <c r="G138">
        <v>12</v>
      </c>
      <c r="H138">
        <v>16</v>
      </c>
    </row>
    <row r="139" spans="1:8" x14ac:dyDescent="0.3">
      <c r="A139" t="s">
        <v>27</v>
      </c>
      <c r="B139" t="s">
        <v>89</v>
      </c>
      <c r="C139">
        <v>94</v>
      </c>
      <c r="D139">
        <v>92</v>
      </c>
      <c r="E139">
        <v>2</v>
      </c>
      <c r="F139">
        <v>2.13</v>
      </c>
      <c r="G139">
        <v>30</v>
      </c>
      <c r="H139">
        <v>32.61</v>
      </c>
    </row>
    <row r="140" spans="1:8" x14ac:dyDescent="0.3">
      <c r="A140" t="s">
        <v>27</v>
      </c>
      <c r="B140" t="s">
        <v>90</v>
      </c>
      <c r="C140">
        <v>94</v>
      </c>
      <c r="D140">
        <v>53</v>
      </c>
      <c r="E140">
        <v>41</v>
      </c>
      <c r="F140">
        <v>43.62</v>
      </c>
      <c r="G140">
        <v>10</v>
      </c>
      <c r="H140">
        <v>18.87</v>
      </c>
    </row>
    <row r="141" spans="1:8" x14ac:dyDescent="0.3">
      <c r="A141" t="s">
        <v>27</v>
      </c>
      <c r="B141" t="s">
        <v>91</v>
      </c>
      <c r="C141">
        <v>94</v>
      </c>
      <c r="D141">
        <v>78</v>
      </c>
      <c r="E141">
        <v>16</v>
      </c>
      <c r="F141">
        <v>17.02</v>
      </c>
      <c r="G141">
        <v>12</v>
      </c>
      <c r="H141">
        <v>15.38</v>
      </c>
    </row>
    <row r="142" spans="1:8" x14ac:dyDescent="0.3">
      <c r="A142" t="s">
        <v>28</v>
      </c>
      <c r="B142" t="s">
        <v>85</v>
      </c>
      <c r="C142">
        <v>121</v>
      </c>
      <c r="D142">
        <v>81</v>
      </c>
      <c r="E142">
        <v>40</v>
      </c>
      <c r="F142">
        <v>33.06</v>
      </c>
      <c r="G142">
        <v>6</v>
      </c>
      <c r="H142">
        <v>7.41</v>
      </c>
    </row>
    <row r="143" spans="1:8" x14ac:dyDescent="0.3">
      <c r="A143" t="s">
        <v>28</v>
      </c>
      <c r="B143" t="s">
        <v>86</v>
      </c>
      <c r="C143">
        <v>121</v>
      </c>
      <c r="D143">
        <v>54</v>
      </c>
      <c r="E143">
        <v>67</v>
      </c>
      <c r="F143">
        <v>55.37</v>
      </c>
      <c r="G143">
        <v>34</v>
      </c>
      <c r="H143">
        <v>62.96</v>
      </c>
    </row>
    <row r="144" spans="1:8" x14ac:dyDescent="0.3">
      <c r="A144" t="s">
        <v>28</v>
      </c>
      <c r="B144" t="s">
        <v>87</v>
      </c>
      <c r="C144">
        <v>121</v>
      </c>
      <c r="D144">
        <v>80</v>
      </c>
      <c r="E144">
        <v>41</v>
      </c>
      <c r="F144">
        <v>33.880000000000003</v>
      </c>
      <c r="G144">
        <v>4</v>
      </c>
      <c r="H144">
        <v>5</v>
      </c>
    </row>
    <row r="145" spans="1:8" x14ac:dyDescent="0.3">
      <c r="A145" t="s">
        <v>28</v>
      </c>
      <c r="B145" t="s">
        <v>88</v>
      </c>
      <c r="C145">
        <v>121</v>
      </c>
      <c r="D145">
        <v>79</v>
      </c>
      <c r="E145">
        <v>42</v>
      </c>
      <c r="F145">
        <v>34.71</v>
      </c>
      <c r="G145">
        <v>7</v>
      </c>
      <c r="H145">
        <v>8.86</v>
      </c>
    </row>
    <row r="146" spans="1:8" x14ac:dyDescent="0.3">
      <c r="A146" t="s">
        <v>28</v>
      </c>
      <c r="B146" t="s">
        <v>89</v>
      </c>
      <c r="C146">
        <v>121</v>
      </c>
      <c r="D146">
        <v>87</v>
      </c>
      <c r="E146">
        <v>34</v>
      </c>
      <c r="F146">
        <v>28.1</v>
      </c>
      <c r="G146">
        <v>15</v>
      </c>
      <c r="H146">
        <v>17.239999999999998</v>
      </c>
    </row>
    <row r="147" spans="1:8" x14ac:dyDescent="0.3">
      <c r="A147" t="s">
        <v>28</v>
      </c>
      <c r="B147" t="s">
        <v>90</v>
      </c>
      <c r="C147">
        <v>121</v>
      </c>
      <c r="D147">
        <v>54</v>
      </c>
      <c r="E147">
        <v>67</v>
      </c>
      <c r="F147">
        <v>55.37</v>
      </c>
      <c r="G147">
        <v>17</v>
      </c>
      <c r="H147">
        <v>31.48</v>
      </c>
    </row>
    <row r="148" spans="1:8" x14ac:dyDescent="0.3">
      <c r="A148" t="s">
        <v>28</v>
      </c>
      <c r="B148" t="s">
        <v>91</v>
      </c>
      <c r="C148">
        <v>121</v>
      </c>
      <c r="D148">
        <v>79</v>
      </c>
      <c r="E148">
        <v>42</v>
      </c>
      <c r="F148">
        <v>34.71</v>
      </c>
      <c r="G148">
        <v>12</v>
      </c>
      <c r="H148">
        <v>15.19</v>
      </c>
    </row>
    <row r="149" spans="1:8" x14ac:dyDescent="0.3">
      <c r="A149" t="s">
        <v>29</v>
      </c>
      <c r="B149" t="s">
        <v>85</v>
      </c>
      <c r="C149">
        <v>64</v>
      </c>
      <c r="D149">
        <v>58</v>
      </c>
      <c r="E149">
        <v>6</v>
      </c>
      <c r="F149">
        <v>9.3800000000000008</v>
      </c>
      <c r="G149">
        <v>4</v>
      </c>
      <c r="H149">
        <v>6.9</v>
      </c>
    </row>
    <row r="150" spans="1:8" x14ac:dyDescent="0.3">
      <c r="A150" t="s">
        <v>29</v>
      </c>
      <c r="B150" t="s">
        <v>86</v>
      </c>
      <c r="C150">
        <v>64</v>
      </c>
      <c r="D150">
        <v>53</v>
      </c>
      <c r="E150">
        <v>11</v>
      </c>
      <c r="F150">
        <v>17.190000000000001</v>
      </c>
      <c r="G150">
        <v>1</v>
      </c>
      <c r="H150">
        <v>1.89</v>
      </c>
    </row>
    <row r="151" spans="1:8" x14ac:dyDescent="0.3">
      <c r="A151" t="s">
        <v>29</v>
      </c>
      <c r="B151" t="s">
        <v>87</v>
      </c>
      <c r="C151">
        <v>64</v>
      </c>
      <c r="D151">
        <v>57</v>
      </c>
      <c r="E151">
        <v>7</v>
      </c>
      <c r="F151">
        <v>10.94</v>
      </c>
      <c r="G151">
        <v>0</v>
      </c>
      <c r="H151">
        <v>0</v>
      </c>
    </row>
    <row r="152" spans="1:8" x14ac:dyDescent="0.3">
      <c r="A152" t="s">
        <v>29</v>
      </c>
      <c r="B152" t="s">
        <v>88</v>
      </c>
      <c r="C152">
        <v>64</v>
      </c>
      <c r="D152">
        <v>57</v>
      </c>
      <c r="E152">
        <v>7</v>
      </c>
      <c r="F152">
        <v>10.94</v>
      </c>
      <c r="G152">
        <v>15</v>
      </c>
      <c r="H152">
        <v>26.32</v>
      </c>
    </row>
    <row r="153" spans="1:8" x14ac:dyDescent="0.3">
      <c r="A153" t="s">
        <v>29</v>
      </c>
      <c r="B153" t="s">
        <v>89</v>
      </c>
      <c r="C153">
        <v>64</v>
      </c>
      <c r="D153">
        <v>57</v>
      </c>
      <c r="E153">
        <v>7</v>
      </c>
      <c r="F153">
        <v>10.94</v>
      </c>
      <c r="G153">
        <v>30</v>
      </c>
      <c r="H153">
        <v>52.63</v>
      </c>
    </row>
    <row r="154" spans="1:8" x14ac:dyDescent="0.3">
      <c r="A154" t="s">
        <v>29</v>
      </c>
      <c r="B154" t="s">
        <v>90</v>
      </c>
      <c r="C154">
        <v>64</v>
      </c>
      <c r="D154">
        <v>52</v>
      </c>
      <c r="E154">
        <v>12</v>
      </c>
      <c r="F154">
        <v>18.75</v>
      </c>
      <c r="G154">
        <v>14</v>
      </c>
      <c r="H154">
        <v>26.92</v>
      </c>
    </row>
    <row r="155" spans="1:8" x14ac:dyDescent="0.3">
      <c r="A155" t="s">
        <v>29</v>
      </c>
      <c r="B155" t="s">
        <v>91</v>
      </c>
      <c r="C155">
        <v>64</v>
      </c>
      <c r="D155">
        <v>57</v>
      </c>
      <c r="E155">
        <v>7</v>
      </c>
      <c r="F155">
        <v>10.94</v>
      </c>
      <c r="G155">
        <v>33</v>
      </c>
      <c r="H155">
        <v>57.89</v>
      </c>
    </row>
    <row r="156" spans="1:8" x14ac:dyDescent="0.3">
      <c r="A156" t="s">
        <v>30</v>
      </c>
      <c r="B156" t="s">
        <v>85</v>
      </c>
      <c r="C156">
        <v>49</v>
      </c>
      <c r="D156">
        <v>0</v>
      </c>
      <c r="E156">
        <v>49</v>
      </c>
      <c r="F156">
        <v>100</v>
      </c>
      <c r="G156">
        <v>0</v>
      </c>
    </row>
    <row r="157" spans="1:8" x14ac:dyDescent="0.3">
      <c r="A157" t="s">
        <v>30</v>
      </c>
      <c r="B157" t="s">
        <v>86</v>
      </c>
      <c r="C157">
        <v>49</v>
      </c>
      <c r="D157">
        <v>0</v>
      </c>
      <c r="E157">
        <v>49</v>
      </c>
      <c r="F157">
        <v>100</v>
      </c>
      <c r="G157">
        <v>0</v>
      </c>
    </row>
    <row r="158" spans="1:8" x14ac:dyDescent="0.3">
      <c r="A158" t="s">
        <v>30</v>
      </c>
      <c r="B158" t="s">
        <v>87</v>
      </c>
      <c r="C158">
        <v>49</v>
      </c>
      <c r="D158">
        <v>0</v>
      </c>
      <c r="E158">
        <v>49</v>
      </c>
      <c r="F158">
        <v>100</v>
      </c>
      <c r="G158">
        <v>0</v>
      </c>
    </row>
    <row r="159" spans="1:8" x14ac:dyDescent="0.3">
      <c r="A159" t="s">
        <v>30</v>
      </c>
      <c r="B159" t="s">
        <v>88</v>
      </c>
      <c r="C159">
        <v>49</v>
      </c>
      <c r="D159">
        <v>0</v>
      </c>
      <c r="E159">
        <v>49</v>
      </c>
      <c r="F159">
        <v>100</v>
      </c>
      <c r="G159">
        <v>0</v>
      </c>
    </row>
    <row r="160" spans="1:8" x14ac:dyDescent="0.3">
      <c r="A160" t="s">
        <v>30</v>
      </c>
      <c r="B160" t="s">
        <v>89</v>
      </c>
      <c r="C160">
        <v>49</v>
      </c>
      <c r="D160">
        <v>0</v>
      </c>
      <c r="E160">
        <v>49</v>
      </c>
      <c r="F160">
        <v>100</v>
      </c>
      <c r="G160">
        <v>0</v>
      </c>
    </row>
    <row r="161" spans="1:8" x14ac:dyDescent="0.3">
      <c r="A161" t="s">
        <v>30</v>
      </c>
      <c r="B161" t="s">
        <v>90</v>
      </c>
      <c r="C161">
        <v>49</v>
      </c>
      <c r="D161">
        <v>0</v>
      </c>
      <c r="E161">
        <v>49</v>
      </c>
      <c r="F161">
        <v>100</v>
      </c>
      <c r="G161">
        <v>0</v>
      </c>
    </row>
    <row r="162" spans="1:8" x14ac:dyDescent="0.3">
      <c r="A162" t="s">
        <v>30</v>
      </c>
      <c r="B162" t="s">
        <v>91</v>
      </c>
      <c r="C162">
        <v>49</v>
      </c>
      <c r="D162">
        <v>0</v>
      </c>
      <c r="E162">
        <v>49</v>
      </c>
      <c r="F162">
        <v>100</v>
      </c>
      <c r="G162">
        <v>0</v>
      </c>
    </row>
    <row r="163" spans="1:8" x14ac:dyDescent="0.3">
      <c r="A163" t="s">
        <v>31</v>
      </c>
      <c r="B163" t="s">
        <v>85</v>
      </c>
      <c r="C163">
        <v>33</v>
      </c>
      <c r="D163">
        <v>26</v>
      </c>
      <c r="E163">
        <v>7</v>
      </c>
      <c r="F163">
        <v>21.21</v>
      </c>
      <c r="G163">
        <v>0</v>
      </c>
      <c r="H163">
        <v>0</v>
      </c>
    </row>
    <row r="164" spans="1:8" x14ac:dyDescent="0.3">
      <c r="A164" t="s">
        <v>31</v>
      </c>
      <c r="B164" t="s">
        <v>86</v>
      </c>
      <c r="C164">
        <v>33</v>
      </c>
      <c r="D164">
        <v>27</v>
      </c>
      <c r="E164">
        <v>6</v>
      </c>
      <c r="F164">
        <v>18.18</v>
      </c>
      <c r="G164">
        <v>1</v>
      </c>
      <c r="H164">
        <v>3.7</v>
      </c>
    </row>
    <row r="165" spans="1:8" x14ac:dyDescent="0.3">
      <c r="A165" t="s">
        <v>31</v>
      </c>
      <c r="B165" t="s">
        <v>87</v>
      </c>
      <c r="C165">
        <v>33</v>
      </c>
      <c r="D165">
        <v>32</v>
      </c>
      <c r="E165">
        <v>1</v>
      </c>
      <c r="F165">
        <v>3.03</v>
      </c>
      <c r="G165">
        <v>1</v>
      </c>
      <c r="H165">
        <v>3.13</v>
      </c>
    </row>
    <row r="166" spans="1:8" x14ac:dyDescent="0.3">
      <c r="A166" t="s">
        <v>31</v>
      </c>
      <c r="B166" t="s">
        <v>88</v>
      </c>
      <c r="C166">
        <v>33</v>
      </c>
      <c r="D166">
        <v>31</v>
      </c>
      <c r="E166">
        <v>2</v>
      </c>
      <c r="F166">
        <v>6.06</v>
      </c>
      <c r="G166">
        <v>2</v>
      </c>
      <c r="H166">
        <v>6.45</v>
      </c>
    </row>
    <row r="167" spans="1:8" x14ac:dyDescent="0.3">
      <c r="A167" t="s">
        <v>31</v>
      </c>
      <c r="B167" t="s">
        <v>89</v>
      </c>
      <c r="C167">
        <v>33</v>
      </c>
      <c r="D167">
        <v>32</v>
      </c>
      <c r="E167">
        <v>1</v>
      </c>
      <c r="F167">
        <v>3.03</v>
      </c>
      <c r="G167">
        <v>2</v>
      </c>
      <c r="H167">
        <v>6.25</v>
      </c>
    </row>
    <row r="168" spans="1:8" x14ac:dyDescent="0.3">
      <c r="A168" t="s">
        <v>31</v>
      </c>
      <c r="B168" t="s">
        <v>90</v>
      </c>
      <c r="C168">
        <v>33</v>
      </c>
      <c r="D168">
        <v>16</v>
      </c>
      <c r="E168">
        <v>17</v>
      </c>
      <c r="F168">
        <v>51.52</v>
      </c>
      <c r="G168">
        <v>2</v>
      </c>
      <c r="H168">
        <v>12.5</v>
      </c>
    </row>
    <row r="169" spans="1:8" x14ac:dyDescent="0.3">
      <c r="A169" t="s">
        <v>31</v>
      </c>
      <c r="B169" t="s">
        <v>91</v>
      </c>
      <c r="C169">
        <v>33</v>
      </c>
      <c r="D169">
        <v>27</v>
      </c>
      <c r="E169">
        <v>6</v>
      </c>
      <c r="F169">
        <v>18.18</v>
      </c>
      <c r="G169">
        <v>9</v>
      </c>
      <c r="H169">
        <v>33.33</v>
      </c>
    </row>
    <row r="170" spans="1:8" x14ac:dyDescent="0.3">
      <c r="A170" t="s">
        <v>32</v>
      </c>
      <c r="B170" t="s">
        <v>85</v>
      </c>
      <c r="C170">
        <v>131</v>
      </c>
      <c r="D170">
        <v>117</v>
      </c>
      <c r="E170">
        <v>14</v>
      </c>
      <c r="F170">
        <v>10.69</v>
      </c>
      <c r="G170">
        <v>7</v>
      </c>
      <c r="H170">
        <v>5.98</v>
      </c>
    </row>
    <row r="171" spans="1:8" x14ac:dyDescent="0.3">
      <c r="A171" t="s">
        <v>32</v>
      </c>
      <c r="B171" t="s">
        <v>86</v>
      </c>
      <c r="C171">
        <v>131</v>
      </c>
      <c r="D171">
        <v>111</v>
      </c>
      <c r="E171">
        <v>20</v>
      </c>
      <c r="F171">
        <v>15.27</v>
      </c>
      <c r="G171">
        <v>16</v>
      </c>
      <c r="H171">
        <v>14.41</v>
      </c>
    </row>
    <row r="172" spans="1:8" x14ac:dyDescent="0.3">
      <c r="A172" t="s">
        <v>32</v>
      </c>
      <c r="B172" t="s">
        <v>87</v>
      </c>
      <c r="C172">
        <v>131</v>
      </c>
      <c r="D172">
        <v>109</v>
      </c>
      <c r="E172">
        <v>22</v>
      </c>
      <c r="F172">
        <v>16.79</v>
      </c>
      <c r="G172">
        <v>8</v>
      </c>
      <c r="H172">
        <v>7.34</v>
      </c>
    </row>
    <row r="173" spans="1:8" x14ac:dyDescent="0.3">
      <c r="A173" t="s">
        <v>32</v>
      </c>
      <c r="B173" t="s">
        <v>88</v>
      </c>
      <c r="C173">
        <v>131</v>
      </c>
      <c r="D173">
        <v>107</v>
      </c>
      <c r="E173">
        <v>24</v>
      </c>
      <c r="F173">
        <v>18.32</v>
      </c>
      <c r="G173">
        <v>27</v>
      </c>
      <c r="H173">
        <v>25.23</v>
      </c>
    </row>
    <row r="174" spans="1:8" x14ac:dyDescent="0.3">
      <c r="A174" t="s">
        <v>32</v>
      </c>
      <c r="B174" t="s">
        <v>89</v>
      </c>
      <c r="C174">
        <v>131</v>
      </c>
      <c r="D174">
        <v>116</v>
      </c>
      <c r="E174">
        <v>15</v>
      </c>
      <c r="F174">
        <v>11.45</v>
      </c>
      <c r="G174">
        <v>37</v>
      </c>
      <c r="H174">
        <v>31.9</v>
      </c>
    </row>
    <row r="175" spans="1:8" x14ac:dyDescent="0.3">
      <c r="A175" t="s">
        <v>32</v>
      </c>
      <c r="B175" t="s">
        <v>90</v>
      </c>
      <c r="C175">
        <v>131</v>
      </c>
      <c r="D175">
        <v>83</v>
      </c>
      <c r="E175">
        <v>48</v>
      </c>
      <c r="F175">
        <v>36.64</v>
      </c>
      <c r="G175">
        <v>29</v>
      </c>
      <c r="H175">
        <v>34.94</v>
      </c>
    </row>
    <row r="176" spans="1:8" x14ac:dyDescent="0.3">
      <c r="A176" t="s">
        <v>32</v>
      </c>
      <c r="B176" t="s">
        <v>91</v>
      </c>
      <c r="C176">
        <v>131</v>
      </c>
      <c r="D176">
        <v>122</v>
      </c>
      <c r="E176">
        <v>9</v>
      </c>
      <c r="F176">
        <v>6.87</v>
      </c>
      <c r="G176">
        <v>24</v>
      </c>
      <c r="H176">
        <v>19.670000000000002</v>
      </c>
    </row>
    <row r="177" spans="1:8" x14ac:dyDescent="0.3">
      <c r="A177" t="s">
        <v>33</v>
      </c>
      <c r="B177" t="s">
        <v>85</v>
      </c>
      <c r="C177">
        <v>131</v>
      </c>
      <c r="D177">
        <v>103</v>
      </c>
      <c r="E177">
        <v>28</v>
      </c>
      <c r="F177">
        <v>21.37</v>
      </c>
      <c r="G177">
        <v>1</v>
      </c>
      <c r="H177">
        <v>0.97</v>
      </c>
    </row>
    <row r="178" spans="1:8" x14ac:dyDescent="0.3">
      <c r="A178" t="s">
        <v>33</v>
      </c>
      <c r="B178" t="s">
        <v>86</v>
      </c>
      <c r="C178">
        <v>131</v>
      </c>
      <c r="D178">
        <v>48</v>
      </c>
      <c r="E178">
        <v>83</v>
      </c>
      <c r="F178">
        <v>63.36</v>
      </c>
      <c r="G178">
        <v>1</v>
      </c>
      <c r="H178">
        <v>2.08</v>
      </c>
    </row>
    <row r="179" spans="1:8" x14ac:dyDescent="0.3">
      <c r="A179" t="s">
        <v>33</v>
      </c>
      <c r="B179" t="s">
        <v>87</v>
      </c>
      <c r="C179">
        <v>131</v>
      </c>
      <c r="D179">
        <v>57</v>
      </c>
      <c r="E179">
        <v>74</v>
      </c>
      <c r="F179">
        <v>56.49</v>
      </c>
      <c r="G179">
        <v>1</v>
      </c>
      <c r="H179">
        <v>1.75</v>
      </c>
    </row>
    <row r="180" spans="1:8" x14ac:dyDescent="0.3">
      <c r="A180" t="s">
        <v>33</v>
      </c>
      <c r="B180" t="s">
        <v>88</v>
      </c>
      <c r="C180">
        <v>131</v>
      </c>
      <c r="D180">
        <v>81</v>
      </c>
      <c r="E180">
        <v>50</v>
      </c>
      <c r="F180">
        <v>38.17</v>
      </c>
      <c r="G180">
        <v>3</v>
      </c>
      <c r="H180">
        <v>3.7</v>
      </c>
    </row>
    <row r="181" spans="1:8" x14ac:dyDescent="0.3">
      <c r="A181" t="s">
        <v>33</v>
      </c>
      <c r="B181" t="s">
        <v>89</v>
      </c>
      <c r="C181">
        <v>131</v>
      </c>
      <c r="D181">
        <v>80</v>
      </c>
      <c r="E181">
        <v>51</v>
      </c>
      <c r="F181">
        <v>38.93</v>
      </c>
      <c r="G181">
        <v>4</v>
      </c>
      <c r="H181">
        <v>5</v>
      </c>
    </row>
    <row r="182" spans="1:8" x14ac:dyDescent="0.3">
      <c r="A182" t="s">
        <v>33</v>
      </c>
      <c r="B182" t="s">
        <v>90</v>
      </c>
      <c r="C182">
        <v>131</v>
      </c>
      <c r="D182">
        <v>46</v>
      </c>
      <c r="E182">
        <v>85</v>
      </c>
      <c r="F182">
        <v>64.89</v>
      </c>
      <c r="G182">
        <v>7</v>
      </c>
      <c r="H182">
        <v>15.22</v>
      </c>
    </row>
    <row r="183" spans="1:8" x14ac:dyDescent="0.3">
      <c r="A183" t="s">
        <v>33</v>
      </c>
      <c r="B183" t="s">
        <v>91</v>
      </c>
      <c r="C183">
        <v>131</v>
      </c>
      <c r="D183">
        <v>114</v>
      </c>
      <c r="E183">
        <v>17</v>
      </c>
      <c r="F183">
        <v>12.98</v>
      </c>
      <c r="G183">
        <v>1</v>
      </c>
      <c r="H183">
        <v>0.88</v>
      </c>
    </row>
    <row r="184" spans="1:8" x14ac:dyDescent="0.3">
      <c r="A184" t="s">
        <v>34</v>
      </c>
      <c r="B184" t="s">
        <v>85</v>
      </c>
      <c r="C184">
        <v>112</v>
      </c>
      <c r="D184">
        <v>78</v>
      </c>
      <c r="E184">
        <v>34</v>
      </c>
      <c r="F184">
        <v>30.36</v>
      </c>
      <c r="G184">
        <v>4</v>
      </c>
      <c r="H184">
        <v>5.13</v>
      </c>
    </row>
    <row r="185" spans="1:8" x14ac:dyDescent="0.3">
      <c r="A185" t="s">
        <v>34</v>
      </c>
      <c r="B185" t="s">
        <v>86</v>
      </c>
      <c r="C185">
        <v>112</v>
      </c>
      <c r="D185">
        <v>69</v>
      </c>
      <c r="E185">
        <v>43</v>
      </c>
      <c r="F185">
        <v>38.39</v>
      </c>
      <c r="G185">
        <v>8</v>
      </c>
      <c r="H185">
        <v>11.59</v>
      </c>
    </row>
    <row r="186" spans="1:8" x14ac:dyDescent="0.3">
      <c r="A186" t="s">
        <v>34</v>
      </c>
      <c r="B186" t="s">
        <v>87</v>
      </c>
      <c r="C186">
        <v>112</v>
      </c>
      <c r="D186">
        <v>87</v>
      </c>
      <c r="E186">
        <v>25</v>
      </c>
      <c r="F186">
        <v>22.32</v>
      </c>
      <c r="G186">
        <v>12</v>
      </c>
      <c r="H186">
        <v>13.79</v>
      </c>
    </row>
    <row r="187" spans="1:8" x14ac:dyDescent="0.3">
      <c r="A187" t="s">
        <v>34</v>
      </c>
      <c r="B187" t="s">
        <v>88</v>
      </c>
      <c r="C187">
        <v>112</v>
      </c>
      <c r="D187">
        <v>80</v>
      </c>
      <c r="E187">
        <v>32</v>
      </c>
      <c r="F187">
        <v>28.57</v>
      </c>
      <c r="G187">
        <v>18</v>
      </c>
      <c r="H187">
        <v>22.5</v>
      </c>
    </row>
    <row r="188" spans="1:8" x14ac:dyDescent="0.3">
      <c r="A188" t="s">
        <v>34</v>
      </c>
      <c r="B188" t="s">
        <v>89</v>
      </c>
      <c r="C188">
        <v>112</v>
      </c>
      <c r="D188">
        <v>99</v>
      </c>
      <c r="E188">
        <v>13</v>
      </c>
      <c r="F188">
        <v>11.61</v>
      </c>
      <c r="G188">
        <v>25</v>
      </c>
      <c r="H188">
        <v>25.25</v>
      </c>
    </row>
    <row r="189" spans="1:8" x14ac:dyDescent="0.3">
      <c r="A189" t="s">
        <v>34</v>
      </c>
      <c r="B189" t="s">
        <v>90</v>
      </c>
      <c r="C189">
        <v>112</v>
      </c>
      <c r="D189">
        <v>65</v>
      </c>
      <c r="E189">
        <v>47</v>
      </c>
      <c r="F189">
        <v>41.96</v>
      </c>
      <c r="G189">
        <v>11</v>
      </c>
      <c r="H189">
        <v>16.920000000000002</v>
      </c>
    </row>
    <row r="190" spans="1:8" x14ac:dyDescent="0.3">
      <c r="A190" t="s">
        <v>34</v>
      </c>
      <c r="B190" t="s">
        <v>91</v>
      </c>
      <c r="C190">
        <v>112</v>
      </c>
      <c r="D190">
        <v>80</v>
      </c>
      <c r="E190">
        <v>32</v>
      </c>
      <c r="F190">
        <v>28.57</v>
      </c>
      <c r="G190">
        <v>11</v>
      </c>
      <c r="H190">
        <v>13.75</v>
      </c>
    </row>
    <row r="191" spans="1:8" x14ac:dyDescent="0.3">
      <c r="A191" t="s">
        <v>35</v>
      </c>
      <c r="B191" t="s">
        <v>85</v>
      </c>
      <c r="C191">
        <v>1</v>
      </c>
      <c r="D191">
        <v>0</v>
      </c>
      <c r="E191">
        <v>1</v>
      </c>
      <c r="F191">
        <v>100</v>
      </c>
      <c r="G191">
        <v>0</v>
      </c>
    </row>
    <row r="192" spans="1:8" x14ac:dyDescent="0.3">
      <c r="A192" t="s">
        <v>35</v>
      </c>
      <c r="B192" t="s">
        <v>86</v>
      </c>
      <c r="C192">
        <v>1</v>
      </c>
      <c r="D192">
        <v>0</v>
      </c>
      <c r="E192">
        <v>1</v>
      </c>
      <c r="F192">
        <v>100</v>
      </c>
      <c r="G192">
        <v>0</v>
      </c>
    </row>
    <row r="193" spans="1:8" x14ac:dyDescent="0.3">
      <c r="A193" t="s">
        <v>35</v>
      </c>
      <c r="B193" t="s">
        <v>87</v>
      </c>
      <c r="C193">
        <v>1</v>
      </c>
      <c r="D193">
        <v>1</v>
      </c>
      <c r="E193">
        <v>0</v>
      </c>
      <c r="F193">
        <v>0</v>
      </c>
      <c r="G193">
        <v>0</v>
      </c>
      <c r="H193">
        <v>0</v>
      </c>
    </row>
    <row r="194" spans="1:8" x14ac:dyDescent="0.3">
      <c r="A194" t="s">
        <v>35</v>
      </c>
      <c r="B194" t="s">
        <v>88</v>
      </c>
      <c r="C194">
        <v>1</v>
      </c>
      <c r="D194">
        <v>0</v>
      </c>
      <c r="E194">
        <v>1</v>
      </c>
      <c r="F194">
        <v>100</v>
      </c>
      <c r="G194">
        <v>0</v>
      </c>
    </row>
    <row r="195" spans="1:8" x14ac:dyDescent="0.3">
      <c r="A195" t="s">
        <v>35</v>
      </c>
      <c r="B195" t="s">
        <v>89</v>
      </c>
      <c r="C195">
        <v>1</v>
      </c>
      <c r="D195">
        <v>1</v>
      </c>
      <c r="E195">
        <v>0</v>
      </c>
      <c r="F195">
        <v>0</v>
      </c>
      <c r="G195">
        <v>1</v>
      </c>
      <c r="H195">
        <v>100</v>
      </c>
    </row>
    <row r="196" spans="1:8" x14ac:dyDescent="0.3">
      <c r="A196" t="s">
        <v>35</v>
      </c>
      <c r="B196" t="s">
        <v>90</v>
      </c>
      <c r="C196">
        <v>1</v>
      </c>
      <c r="D196">
        <v>0</v>
      </c>
      <c r="E196">
        <v>1</v>
      </c>
      <c r="F196">
        <v>100</v>
      </c>
      <c r="G196">
        <v>0</v>
      </c>
    </row>
    <row r="197" spans="1:8" x14ac:dyDescent="0.3">
      <c r="A197" t="s">
        <v>35</v>
      </c>
      <c r="B197" t="s">
        <v>91</v>
      </c>
      <c r="C197">
        <v>1</v>
      </c>
      <c r="D197">
        <v>0</v>
      </c>
      <c r="E197">
        <v>1</v>
      </c>
      <c r="F197">
        <v>100</v>
      </c>
      <c r="G197">
        <v>0</v>
      </c>
    </row>
    <row r="198" spans="1:8" x14ac:dyDescent="0.3">
      <c r="A198" t="s">
        <v>36</v>
      </c>
      <c r="B198" t="s">
        <v>85</v>
      </c>
      <c r="C198">
        <v>95</v>
      </c>
      <c r="D198">
        <v>60</v>
      </c>
      <c r="E198">
        <v>35</v>
      </c>
      <c r="F198">
        <v>36.840000000000003</v>
      </c>
      <c r="G198">
        <v>8</v>
      </c>
      <c r="H198">
        <v>13.33</v>
      </c>
    </row>
    <row r="199" spans="1:8" x14ac:dyDescent="0.3">
      <c r="A199" t="s">
        <v>36</v>
      </c>
      <c r="B199" t="s">
        <v>86</v>
      </c>
      <c r="C199">
        <v>95</v>
      </c>
      <c r="D199">
        <v>48</v>
      </c>
      <c r="E199">
        <v>47</v>
      </c>
      <c r="F199">
        <v>49.47</v>
      </c>
      <c r="G199">
        <v>10</v>
      </c>
      <c r="H199">
        <v>20.83</v>
      </c>
    </row>
    <row r="200" spans="1:8" x14ac:dyDescent="0.3">
      <c r="A200" t="s">
        <v>36</v>
      </c>
      <c r="B200" t="s">
        <v>87</v>
      </c>
      <c r="C200">
        <v>95</v>
      </c>
      <c r="D200">
        <v>69</v>
      </c>
      <c r="E200">
        <v>26</v>
      </c>
      <c r="F200">
        <v>27.37</v>
      </c>
      <c r="G200">
        <v>8</v>
      </c>
      <c r="H200">
        <v>11.59</v>
      </c>
    </row>
    <row r="201" spans="1:8" x14ac:dyDescent="0.3">
      <c r="A201" t="s">
        <v>36</v>
      </c>
      <c r="B201" t="s">
        <v>88</v>
      </c>
      <c r="C201">
        <v>95</v>
      </c>
      <c r="D201">
        <v>52</v>
      </c>
      <c r="E201">
        <v>43</v>
      </c>
      <c r="F201">
        <v>45.26</v>
      </c>
      <c r="G201">
        <v>18</v>
      </c>
      <c r="H201">
        <v>34.619999999999997</v>
      </c>
    </row>
    <row r="202" spans="1:8" x14ac:dyDescent="0.3">
      <c r="A202" t="s">
        <v>36</v>
      </c>
      <c r="B202" t="s">
        <v>89</v>
      </c>
      <c r="C202">
        <v>95</v>
      </c>
      <c r="D202">
        <v>77</v>
      </c>
      <c r="E202">
        <v>18</v>
      </c>
      <c r="F202">
        <v>18.95</v>
      </c>
      <c r="G202">
        <v>24</v>
      </c>
      <c r="H202">
        <v>31.17</v>
      </c>
    </row>
    <row r="203" spans="1:8" x14ac:dyDescent="0.3">
      <c r="A203" t="s">
        <v>36</v>
      </c>
      <c r="B203" t="s">
        <v>90</v>
      </c>
      <c r="C203">
        <v>95</v>
      </c>
      <c r="D203">
        <v>35</v>
      </c>
      <c r="E203">
        <v>60</v>
      </c>
      <c r="F203">
        <v>63.16</v>
      </c>
      <c r="G203">
        <v>7</v>
      </c>
      <c r="H203">
        <v>20</v>
      </c>
    </row>
    <row r="204" spans="1:8" x14ac:dyDescent="0.3">
      <c r="A204" t="s">
        <v>36</v>
      </c>
      <c r="B204" t="s">
        <v>91</v>
      </c>
      <c r="C204">
        <v>95</v>
      </c>
      <c r="D204">
        <v>61</v>
      </c>
      <c r="E204">
        <v>34</v>
      </c>
      <c r="F204">
        <v>35.79</v>
      </c>
      <c r="G204">
        <v>2</v>
      </c>
      <c r="H204">
        <v>3.28</v>
      </c>
    </row>
    <row r="205" spans="1:8" x14ac:dyDescent="0.3">
      <c r="A205" t="s">
        <v>37</v>
      </c>
      <c r="B205" t="s">
        <v>85</v>
      </c>
      <c r="C205">
        <v>62</v>
      </c>
      <c r="D205">
        <v>21</v>
      </c>
      <c r="E205">
        <v>41</v>
      </c>
      <c r="F205">
        <v>66.13</v>
      </c>
      <c r="G205">
        <v>1</v>
      </c>
      <c r="H205">
        <v>4.76</v>
      </c>
    </row>
    <row r="206" spans="1:8" x14ac:dyDescent="0.3">
      <c r="A206" t="s">
        <v>37</v>
      </c>
      <c r="B206" t="s">
        <v>86</v>
      </c>
      <c r="C206">
        <v>62</v>
      </c>
      <c r="D206">
        <v>14</v>
      </c>
      <c r="E206">
        <v>48</v>
      </c>
      <c r="F206">
        <v>77.42</v>
      </c>
      <c r="G206">
        <v>1</v>
      </c>
      <c r="H206">
        <v>7.14</v>
      </c>
    </row>
    <row r="207" spans="1:8" x14ac:dyDescent="0.3">
      <c r="A207" t="s">
        <v>37</v>
      </c>
      <c r="B207" t="s">
        <v>87</v>
      </c>
      <c r="C207">
        <v>62</v>
      </c>
      <c r="D207">
        <v>21</v>
      </c>
      <c r="E207">
        <v>41</v>
      </c>
      <c r="F207">
        <v>66.13</v>
      </c>
      <c r="G207">
        <v>2</v>
      </c>
      <c r="H207">
        <v>9.52</v>
      </c>
    </row>
    <row r="208" spans="1:8" x14ac:dyDescent="0.3">
      <c r="A208" t="s">
        <v>37</v>
      </c>
      <c r="B208" t="s">
        <v>88</v>
      </c>
      <c r="C208">
        <v>62</v>
      </c>
      <c r="D208">
        <v>23</v>
      </c>
      <c r="E208">
        <v>39</v>
      </c>
      <c r="F208">
        <v>62.9</v>
      </c>
      <c r="G208">
        <v>2</v>
      </c>
      <c r="H208">
        <v>8.6999999999999993</v>
      </c>
    </row>
    <row r="209" spans="1:8" x14ac:dyDescent="0.3">
      <c r="A209" t="s">
        <v>37</v>
      </c>
      <c r="B209" t="s">
        <v>89</v>
      </c>
      <c r="C209">
        <v>62</v>
      </c>
      <c r="D209">
        <v>27</v>
      </c>
      <c r="E209">
        <v>35</v>
      </c>
      <c r="F209">
        <v>56.45</v>
      </c>
      <c r="G209">
        <v>0</v>
      </c>
      <c r="H209">
        <v>0</v>
      </c>
    </row>
    <row r="210" spans="1:8" x14ac:dyDescent="0.3">
      <c r="A210" t="s">
        <v>37</v>
      </c>
      <c r="B210" t="s">
        <v>90</v>
      </c>
      <c r="C210">
        <v>62</v>
      </c>
      <c r="D210">
        <v>10</v>
      </c>
      <c r="E210">
        <v>52</v>
      </c>
      <c r="F210">
        <v>83.87</v>
      </c>
      <c r="G210">
        <v>3</v>
      </c>
      <c r="H210">
        <v>30</v>
      </c>
    </row>
    <row r="211" spans="1:8" x14ac:dyDescent="0.3">
      <c r="A211" t="s">
        <v>37</v>
      </c>
      <c r="B211" t="s">
        <v>91</v>
      </c>
      <c r="C211">
        <v>62</v>
      </c>
      <c r="D211">
        <v>20</v>
      </c>
      <c r="E211">
        <v>42</v>
      </c>
      <c r="F211">
        <v>67.739999999999995</v>
      </c>
      <c r="G211">
        <v>2</v>
      </c>
      <c r="H211">
        <v>10</v>
      </c>
    </row>
    <row r="212" spans="1:8" x14ac:dyDescent="0.3">
      <c r="A212" t="s">
        <v>38</v>
      </c>
      <c r="B212" t="s">
        <v>85</v>
      </c>
      <c r="C212">
        <v>107</v>
      </c>
      <c r="D212">
        <v>90</v>
      </c>
      <c r="E212">
        <v>17</v>
      </c>
      <c r="F212">
        <v>15.89</v>
      </c>
      <c r="G212">
        <v>2</v>
      </c>
      <c r="H212">
        <v>2.2200000000000002</v>
      </c>
    </row>
    <row r="213" spans="1:8" x14ac:dyDescent="0.3">
      <c r="A213" t="s">
        <v>38</v>
      </c>
      <c r="B213" t="s">
        <v>86</v>
      </c>
      <c r="C213">
        <v>107</v>
      </c>
      <c r="D213">
        <v>81</v>
      </c>
      <c r="E213">
        <v>26</v>
      </c>
      <c r="F213">
        <v>24.3</v>
      </c>
      <c r="G213">
        <v>4</v>
      </c>
      <c r="H213">
        <v>4.9400000000000004</v>
      </c>
    </row>
    <row r="214" spans="1:8" x14ac:dyDescent="0.3">
      <c r="A214" t="s">
        <v>38</v>
      </c>
      <c r="B214" t="s">
        <v>87</v>
      </c>
      <c r="C214">
        <v>107</v>
      </c>
      <c r="D214">
        <v>95</v>
      </c>
      <c r="E214">
        <v>12</v>
      </c>
      <c r="F214">
        <v>11.21</v>
      </c>
      <c r="G214">
        <v>21</v>
      </c>
      <c r="H214">
        <v>22.11</v>
      </c>
    </row>
    <row r="215" spans="1:8" x14ac:dyDescent="0.3">
      <c r="A215" t="s">
        <v>38</v>
      </c>
      <c r="B215" t="s">
        <v>88</v>
      </c>
      <c r="C215">
        <v>107</v>
      </c>
      <c r="D215">
        <v>93</v>
      </c>
      <c r="E215">
        <v>14</v>
      </c>
      <c r="F215">
        <v>13.08</v>
      </c>
      <c r="G215">
        <v>21</v>
      </c>
      <c r="H215">
        <v>22.58</v>
      </c>
    </row>
    <row r="216" spans="1:8" x14ac:dyDescent="0.3">
      <c r="A216" t="s">
        <v>38</v>
      </c>
      <c r="B216" t="s">
        <v>89</v>
      </c>
      <c r="C216">
        <v>107</v>
      </c>
      <c r="D216">
        <v>98</v>
      </c>
      <c r="E216">
        <v>9</v>
      </c>
      <c r="F216">
        <v>8.41</v>
      </c>
      <c r="G216">
        <v>19</v>
      </c>
      <c r="H216">
        <v>19.39</v>
      </c>
    </row>
    <row r="217" spans="1:8" x14ac:dyDescent="0.3">
      <c r="A217" t="s">
        <v>38</v>
      </c>
      <c r="B217" t="s">
        <v>90</v>
      </c>
      <c r="C217">
        <v>107</v>
      </c>
      <c r="D217">
        <v>75</v>
      </c>
      <c r="E217">
        <v>32</v>
      </c>
      <c r="F217">
        <v>29.91</v>
      </c>
      <c r="G217">
        <v>16</v>
      </c>
      <c r="H217">
        <v>21.33</v>
      </c>
    </row>
    <row r="218" spans="1:8" x14ac:dyDescent="0.3">
      <c r="A218" t="s">
        <v>38</v>
      </c>
      <c r="B218" t="s">
        <v>91</v>
      </c>
      <c r="C218">
        <v>107</v>
      </c>
      <c r="D218">
        <v>93</v>
      </c>
      <c r="E218">
        <v>14</v>
      </c>
      <c r="F218">
        <v>13.08</v>
      </c>
      <c r="G218">
        <v>25</v>
      </c>
      <c r="H218">
        <v>26.88</v>
      </c>
    </row>
    <row r="219" spans="1:8" x14ac:dyDescent="0.3">
      <c r="A219" t="s">
        <v>39</v>
      </c>
      <c r="B219" t="s">
        <v>85</v>
      </c>
      <c r="C219">
        <v>44</v>
      </c>
      <c r="D219">
        <v>21</v>
      </c>
      <c r="E219">
        <v>23</v>
      </c>
      <c r="F219">
        <v>52.27</v>
      </c>
      <c r="G219">
        <v>0</v>
      </c>
      <c r="H219">
        <v>0</v>
      </c>
    </row>
    <row r="220" spans="1:8" x14ac:dyDescent="0.3">
      <c r="A220" t="s">
        <v>39</v>
      </c>
      <c r="B220" t="s">
        <v>86</v>
      </c>
      <c r="C220">
        <v>44</v>
      </c>
      <c r="D220">
        <v>13</v>
      </c>
      <c r="E220">
        <v>31</v>
      </c>
      <c r="F220">
        <v>70.45</v>
      </c>
      <c r="G220">
        <v>1</v>
      </c>
      <c r="H220">
        <v>7.69</v>
      </c>
    </row>
    <row r="221" spans="1:8" x14ac:dyDescent="0.3">
      <c r="A221" t="s">
        <v>39</v>
      </c>
      <c r="B221" t="s">
        <v>87</v>
      </c>
      <c r="C221">
        <v>44</v>
      </c>
      <c r="D221">
        <v>15</v>
      </c>
      <c r="E221">
        <v>29</v>
      </c>
      <c r="F221">
        <v>65.91</v>
      </c>
      <c r="G221">
        <v>2</v>
      </c>
      <c r="H221">
        <v>13.33</v>
      </c>
    </row>
    <row r="222" spans="1:8" x14ac:dyDescent="0.3">
      <c r="A222" t="s">
        <v>39</v>
      </c>
      <c r="B222" t="s">
        <v>88</v>
      </c>
      <c r="C222">
        <v>44</v>
      </c>
      <c r="D222">
        <v>10</v>
      </c>
      <c r="E222">
        <v>34</v>
      </c>
      <c r="F222">
        <v>77.27</v>
      </c>
      <c r="G222">
        <v>3</v>
      </c>
      <c r="H222">
        <v>30</v>
      </c>
    </row>
    <row r="223" spans="1:8" x14ac:dyDescent="0.3">
      <c r="A223" t="s">
        <v>39</v>
      </c>
      <c r="B223" t="s">
        <v>89</v>
      </c>
      <c r="C223">
        <v>44</v>
      </c>
      <c r="D223">
        <v>23</v>
      </c>
      <c r="E223">
        <v>21</v>
      </c>
      <c r="F223">
        <v>47.73</v>
      </c>
      <c r="G223">
        <v>0</v>
      </c>
      <c r="H223">
        <v>0</v>
      </c>
    </row>
    <row r="224" spans="1:8" x14ac:dyDescent="0.3">
      <c r="A224" t="s">
        <v>39</v>
      </c>
      <c r="B224" t="s">
        <v>90</v>
      </c>
      <c r="C224">
        <v>44</v>
      </c>
      <c r="D224">
        <v>6</v>
      </c>
      <c r="E224">
        <v>38</v>
      </c>
      <c r="F224">
        <v>86.36</v>
      </c>
      <c r="G224">
        <v>2</v>
      </c>
      <c r="H224">
        <v>33.33</v>
      </c>
    </row>
    <row r="225" spans="1:8" x14ac:dyDescent="0.3">
      <c r="A225" t="s">
        <v>39</v>
      </c>
      <c r="B225" t="s">
        <v>91</v>
      </c>
      <c r="C225">
        <v>44</v>
      </c>
      <c r="D225">
        <v>16</v>
      </c>
      <c r="E225">
        <v>28</v>
      </c>
      <c r="F225">
        <v>63.64</v>
      </c>
      <c r="G225">
        <v>0</v>
      </c>
      <c r="H225">
        <v>0</v>
      </c>
    </row>
    <row r="226" spans="1:8" x14ac:dyDescent="0.3">
      <c r="A226" t="s">
        <v>40</v>
      </c>
      <c r="B226" t="s">
        <v>85</v>
      </c>
      <c r="C226">
        <v>89</v>
      </c>
      <c r="D226">
        <v>55</v>
      </c>
      <c r="E226">
        <v>34</v>
      </c>
      <c r="F226">
        <v>38.200000000000003</v>
      </c>
      <c r="G226">
        <v>1</v>
      </c>
      <c r="H226">
        <v>1.82</v>
      </c>
    </row>
    <row r="227" spans="1:8" x14ac:dyDescent="0.3">
      <c r="A227" t="s">
        <v>40</v>
      </c>
      <c r="B227" t="s">
        <v>86</v>
      </c>
      <c r="C227">
        <v>89</v>
      </c>
      <c r="D227">
        <v>37</v>
      </c>
      <c r="E227">
        <v>52</v>
      </c>
      <c r="F227">
        <v>58.43</v>
      </c>
      <c r="G227">
        <v>2</v>
      </c>
      <c r="H227">
        <v>5.41</v>
      </c>
    </row>
    <row r="228" spans="1:8" x14ac:dyDescent="0.3">
      <c r="A228" t="s">
        <v>40</v>
      </c>
      <c r="B228" t="s">
        <v>87</v>
      </c>
      <c r="C228">
        <v>89</v>
      </c>
      <c r="D228">
        <v>37</v>
      </c>
      <c r="E228">
        <v>52</v>
      </c>
      <c r="F228">
        <v>58.43</v>
      </c>
      <c r="G228">
        <v>3</v>
      </c>
      <c r="H228">
        <v>8.11</v>
      </c>
    </row>
    <row r="229" spans="1:8" x14ac:dyDescent="0.3">
      <c r="A229" t="s">
        <v>40</v>
      </c>
      <c r="B229" t="s">
        <v>88</v>
      </c>
      <c r="C229">
        <v>89</v>
      </c>
      <c r="D229">
        <v>36</v>
      </c>
      <c r="E229">
        <v>53</v>
      </c>
      <c r="F229">
        <v>59.55</v>
      </c>
      <c r="G229">
        <v>1</v>
      </c>
      <c r="H229">
        <v>2.78</v>
      </c>
    </row>
    <row r="230" spans="1:8" x14ac:dyDescent="0.3">
      <c r="A230" t="s">
        <v>40</v>
      </c>
      <c r="B230" t="s">
        <v>89</v>
      </c>
      <c r="C230">
        <v>89</v>
      </c>
      <c r="D230">
        <v>54</v>
      </c>
      <c r="E230">
        <v>35</v>
      </c>
      <c r="F230">
        <v>39.33</v>
      </c>
      <c r="G230">
        <v>2</v>
      </c>
      <c r="H230">
        <v>3.7</v>
      </c>
    </row>
    <row r="231" spans="1:8" x14ac:dyDescent="0.3">
      <c r="A231" t="s">
        <v>40</v>
      </c>
      <c r="B231" t="s">
        <v>90</v>
      </c>
      <c r="C231">
        <v>89</v>
      </c>
      <c r="D231">
        <v>19</v>
      </c>
      <c r="E231">
        <v>70</v>
      </c>
      <c r="F231">
        <v>78.650000000000006</v>
      </c>
      <c r="G231">
        <v>7</v>
      </c>
      <c r="H231">
        <v>36.840000000000003</v>
      </c>
    </row>
    <row r="232" spans="1:8" x14ac:dyDescent="0.3">
      <c r="A232" t="s">
        <v>40</v>
      </c>
      <c r="B232" t="s">
        <v>91</v>
      </c>
      <c r="C232">
        <v>89</v>
      </c>
      <c r="D232">
        <v>49</v>
      </c>
      <c r="E232">
        <v>40</v>
      </c>
      <c r="F232">
        <v>44.94</v>
      </c>
      <c r="G232">
        <v>1</v>
      </c>
      <c r="H232">
        <v>2.04</v>
      </c>
    </row>
    <row r="233" spans="1:8" x14ac:dyDescent="0.3">
      <c r="A233" t="s">
        <v>41</v>
      </c>
      <c r="B233" t="s">
        <v>85</v>
      </c>
      <c r="C233">
        <v>26</v>
      </c>
      <c r="D233">
        <v>19</v>
      </c>
      <c r="E233">
        <v>7</v>
      </c>
      <c r="F233">
        <v>26.92</v>
      </c>
      <c r="G233">
        <v>0</v>
      </c>
      <c r="H233">
        <v>0</v>
      </c>
    </row>
    <row r="234" spans="1:8" x14ac:dyDescent="0.3">
      <c r="A234" t="s">
        <v>41</v>
      </c>
      <c r="B234" t="s">
        <v>86</v>
      </c>
      <c r="C234">
        <v>26</v>
      </c>
      <c r="D234">
        <v>20</v>
      </c>
      <c r="E234">
        <v>6</v>
      </c>
      <c r="F234">
        <v>23.08</v>
      </c>
      <c r="G234">
        <v>0</v>
      </c>
      <c r="H234">
        <v>0</v>
      </c>
    </row>
    <row r="235" spans="1:8" x14ac:dyDescent="0.3">
      <c r="A235" t="s">
        <v>41</v>
      </c>
      <c r="B235" t="s">
        <v>87</v>
      </c>
      <c r="C235">
        <v>26</v>
      </c>
      <c r="D235">
        <v>26</v>
      </c>
      <c r="E235">
        <v>0</v>
      </c>
      <c r="F235">
        <v>0</v>
      </c>
      <c r="G235">
        <v>0</v>
      </c>
      <c r="H235">
        <v>0</v>
      </c>
    </row>
    <row r="236" spans="1:8" x14ac:dyDescent="0.3">
      <c r="A236" t="s">
        <v>41</v>
      </c>
      <c r="B236" t="s">
        <v>88</v>
      </c>
      <c r="C236">
        <v>26</v>
      </c>
      <c r="D236">
        <v>21</v>
      </c>
      <c r="E236">
        <v>5</v>
      </c>
      <c r="F236">
        <v>19.23</v>
      </c>
      <c r="G236">
        <v>0</v>
      </c>
      <c r="H236">
        <v>0</v>
      </c>
    </row>
    <row r="237" spans="1:8" x14ac:dyDescent="0.3">
      <c r="A237" t="s">
        <v>41</v>
      </c>
      <c r="B237" t="s">
        <v>89</v>
      </c>
      <c r="C237">
        <v>26</v>
      </c>
      <c r="D237">
        <v>26</v>
      </c>
      <c r="E237">
        <v>0</v>
      </c>
      <c r="F237">
        <v>0</v>
      </c>
      <c r="G237">
        <v>3</v>
      </c>
      <c r="H237">
        <v>11.54</v>
      </c>
    </row>
    <row r="238" spans="1:8" x14ac:dyDescent="0.3">
      <c r="A238" t="s">
        <v>41</v>
      </c>
      <c r="B238" t="s">
        <v>90</v>
      </c>
      <c r="C238">
        <v>26</v>
      </c>
      <c r="D238">
        <v>13</v>
      </c>
      <c r="E238">
        <v>13</v>
      </c>
      <c r="F238">
        <v>50</v>
      </c>
      <c r="G238">
        <v>3</v>
      </c>
      <c r="H238">
        <v>23.08</v>
      </c>
    </row>
    <row r="239" spans="1:8" x14ac:dyDescent="0.3">
      <c r="A239" t="s">
        <v>41</v>
      </c>
      <c r="B239" t="s">
        <v>91</v>
      </c>
      <c r="C239">
        <v>26</v>
      </c>
      <c r="D239">
        <v>19</v>
      </c>
      <c r="E239">
        <v>7</v>
      </c>
      <c r="F239">
        <v>26.92</v>
      </c>
      <c r="G239">
        <v>7</v>
      </c>
      <c r="H239">
        <v>36.840000000000003</v>
      </c>
    </row>
    <row r="240" spans="1:8" x14ac:dyDescent="0.3">
      <c r="A240" t="s">
        <v>42</v>
      </c>
      <c r="B240" t="s">
        <v>85</v>
      </c>
      <c r="C240">
        <v>66</v>
      </c>
      <c r="D240">
        <v>63</v>
      </c>
      <c r="E240">
        <v>3</v>
      </c>
      <c r="F240">
        <v>4.55</v>
      </c>
      <c r="G240">
        <v>12</v>
      </c>
      <c r="H240">
        <v>19.05</v>
      </c>
    </row>
    <row r="241" spans="1:8" x14ac:dyDescent="0.3">
      <c r="A241" t="s">
        <v>42</v>
      </c>
      <c r="B241" t="s">
        <v>86</v>
      </c>
      <c r="C241">
        <v>66</v>
      </c>
      <c r="D241">
        <v>59</v>
      </c>
      <c r="E241">
        <v>7</v>
      </c>
      <c r="F241">
        <v>10.61</v>
      </c>
      <c r="G241">
        <v>4</v>
      </c>
      <c r="H241">
        <v>6.78</v>
      </c>
    </row>
    <row r="242" spans="1:8" x14ac:dyDescent="0.3">
      <c r="A242" t="s">
        <v>42</v>
      </c>
      <c r="B242" t="s">
        <v>87</v>
      </c>
      <c r="C242">
        <v>66</v>
      </c>
      <c r="D242">
        <v>63</v>
      </c>
      <c r="E242">
        <v>3</v>
      </c>
      <c r="F242">
        <v>4.55</v>
      </c>
      <c r="G242">
        <v>2</v>
      </c>
      <c r="H242">
        <v>3.17</v>
      </c>
    </row>
    <row r="243" spans="1:8" x14ac:dyDescent="0.3">
      <c r="A243" t="s">
        <v>42</v>
      </c>
      <c r="B243" t="s">
        <v>88</v>
      </c>
      <c r="C243">
        <v>66</v>
      </c>
      <c r="D243">
        <v>63</v>
      </c>
      <c r="E243">
        <v>3</v>
      </c>
      <c r="F243">
        <v>4.55</v>
      </c>
      <c r="G243">
        <v>41</v>
      </c>
      <c r="H243">
        <v>65.08</v>
      </c>
    </row>
    <row r="244" spans="1:8" x14ac:dyDescent="0.3">
      <c r="A244" t="s">
        <v>42</v>
      </c>
      <c r="B244" t="s">
        <v>89</v>
      </c>
      <c r="C244">
        <v>66</v>
      </c>
      <c r="D244">
        <v>63</v>
      </c>
      <c r="E244">
        <v>3</v>
      </c>
      <c r="F244">
        <v>4.55</v>
      </c>
      <c r="G244">
        <v>39</v>
      </c>
      <c r="H244">
        <v>61.9</v>
      </c>
    </row>
    <row r="245" spans="1:8" x14ac:dyDescent="0.3">
      <c r="A245" t="s">
        <v>42</v>
      </c>
      <c r="B245" t="s">
        <v>90</v>
      </c>
      <c r="C245">
        <v>66</v>
      </c>
      <c r="D245">
        <v>63</v>
      </c>
      <c r="E245">
        <v>3</v>
      </c>
      <c r="F245">
        <v>4.55</v>
      </c>
      <c r="G245">
        <v>27</v>
      </c>
      <c r="H245">
        <v>42.86</v>
      </c>
    </row>
    <row r="246" spans="1:8" x14ac:dyDescent="0.3">
      <c r="A246" t="s">
        <v>42</v>
      </c>
      <c r="B246" t="s">
        <v>91</v>
      </c>
      <c r="C246">
        <v>66</v>
      </c>
      <c r="D246">
        <v>63</v>
      </c>
      <c r="E246">
        <v>3</v>
      </c>
      <c r="F246">
        <v>4.55</v>
      </c>
      <c r="G246">
        <v>51</v>
      </c>
      <c r="H246">
        <v>80.95</v>
      </c>
    </row>
    <row r="247" spans="1:8" x14ac:dyDescent="0.3">
      <c r="A247" t="s">
        <v>43</v>
      </c>
      <c r="B247" t="s">
        <v>85</v>
      </c>
      <c r="C247">
        <v>41</v>
      </c>
      <c r="D247">
        <v>31</v>
      </c>
      <c r="E247">
        <v>10</v>
      </c>
      <c r="F247">
        <v>24.39</v>
      </c>
      <c r="G247">
        <v>0</v>
      </c>
      <c r="H247">
        <v>0</v>
      </c>
    </row>
    <row r="248" spans="1:8" x14ac:dyDescent="0.3">
      <c r="A248" t="s">
        <v>43</v>
      </c>
      <c r="B248" t="s">
        <v>86</v>
      </c>
      <c r="C248">
        <v>41</v>
      </c>
      <c r="D248">
        <v>20</v>
      </c>
      <c r="E248">
        <v>21</v>
      </c>
      <c r="F248">
        <v>51.22</v>
      </c>
      <c r="G248">
        <v>3</v>
      </c>
      <c r="H248">
        <v>15</v>
      </c>
    </row>
    <row r="249" spans="1:8" x14ac:dyDescent="0.3">
      <c r="A249" t="s">
        <v>43</v>
      </c>
      <c r="B249" t="s">
        <v>87</v>
      </c>
      <c r="C249">
        <v>41</v>
      </c>
      <c r="D249">
        <v>28</v>
      </c>
      <c r="E249">
        <v>13</v>
      </c>
      <c r="F249">
        <v>31.71</v>
      </c>
      <c r="G249">
        <v>1</v>
      </c>
      <c r="H249">
        <v>3.57</v>
      </c>
    </row>
    <row r="250" spans="1:8" x14ac:dyDescent="0.3">
      <c r="A250" t="s">
        <v>43</v>
      </c>
      <c r="B250" t="s">
        <v>88</v>
      </c>
      <c r="C250">
        <v>41</v>
      </c>
      <c r="D250">
        <v>28</v>
      </c>
      <c r="E250">
        <v>13</v>
      </c>
      <c r="F250">
        <v>31.71</v>
      </c>
      <c r="G250">
        <v>16</v>
      </c>
      <c r="H250">
        <v>57.14</v>
      </c>
    </row>
    <row r="251" spans="1:8" x14ac:dyDescent="0.3">
      <c r="A251" t="s">
        <v>43</v>
      </c>
      <c r="B251" t="s">
        <v>89</v>
      </c>
      <c r="C251">
        <v>41</v>
      </c>
      <c r="D251">
        <v>34</v>
      </c>
      <c r="E251">
        <v>7</v>
      </c>
      <c r="F251">
        <v>17.07</v>
      </c>
      <c r="G251">
        <v>4</v>
      </c>
      <c r="H251">
        <v>11.76</v>
      </c>
    </row>
    <row r="252" spans="1:8" x14ac:dyDescent="0.3">
      <c r="A252" t="s">
        <v>43</v>
      </c>
      <c r="B252" t="s">
        <v>90</v>
      </c>
      <c r="C252">
        <v>41</v>
      </c>
      <c r="D252">
        <v>18</v>
      </c>
      <c r="E252">
        <v>23</v>
      </c>
      <c r="F252">
        <v>56.1</v>
      </c>
      <c r="G252">
        <v>6</v>
      </c>
      <c r="H252">
        <v>33.33</v>
      </c>
    </row>
    <row r="253" spans="1:8" x14ac:dyDescent="0.3">
      <c r="A253" t="s">
        <v>43</v>
      </c>
      <c r="B253" t="s">
        <v>91</v>
      </c>
      <c r="C253">
        <v>41</v>
      </c>
      <c r="D253">
        <v>29</v>
      </c>
      <c r="E253">
        <v>12</v>
      </c>
      <c r="F253">
        <v>29.27</v>
      </c>
      <c r="G253">
        <v>11</v>
      </c>
      <c r="H253">
        <v>37.93</v>
      </c>
    </row>
    <row r="254" spans="1:8" x14ac:dyDescent="0.3">
      <c r="A254" t="s">
        <v>44</v>
      </c>
      <c r="B254" t="s">
        <v>85</v>
      </c>
      <c r="C254">
        <v>35</v>
      </c>
      <c r="D254">
        <v>22</v>
      </c>
      <c r="E254">
        <v>13</v>
      </c>
      <c r="F254">
        <v>37.14</v>
      </c>
      <c r="G254">
        <v>3</v>
      </c>
      <c r="H254">
        <v>13.64</v>
      </c>
    </row>
    <row r="255" spans="1:8" x14ac:dyDescent="0.3">
      <c r="A255" t="s">
        <v>44</v>
      </c>
      <c r="B255" t="s">
        <v>86</v>
      </c>
      <c r="C255">
        <v>35</v>
      </c>
      <c r="D255">
        <v>21</v>
      </c>
      <c r="E255">
        <v>14</v>
      </c>
      <c r="F255">
        <v>40</v>
      </c>
      <c r="G255">
        <v>0</v>
      </c>
      <c r="H255">
        <v>0</v>
      </c>
    </row>
    <row r="256" spans="1:8" x14ac:dyDescent="0.3">
      <c r="A256" t="s">
        <v>44</v>
      </c>
      <c r="B256" t="s">
        <v>87</v>
      </c>
      <c r="C256">
        <v>35</v>
      </c>
      <c r="D256">
        <v>25</v>
      </c>
      <c r="E256">
        <v>10</v>
      </c>
      <c r="F256">
        <v>28.57</v>
      </c>
      <c r="G256">
        <v>6</v>
      </c>
      <c r="H256">
        <v>24</v>
      </c>
    </row>
    <row r="257" spans="1:8" x14ac:dyDescent="0.3">
      <c r="A257" t="s">
        <v>44</v>
      </c>
      <c r="B257" t="s">
        <v>88</v>
      </c>
      <c r="C257">
        <v>35</v>
      </c>
      <c r="D257">
        <v>22</v>
      </c>
      <c r="E257">
        <v>13</v>
      </c>
      <c r="F257">
        <v>37.14</v>
      </c>
      <c r="G257">
        <v>18</v>
      </c>
      <c r="H257">
        <v>81.819999999999993</v>
      </c>
    </row>
    <row r="258" spans="1:8" x14ac:dyDescent="0.3">
      <c r="A258" t="s">
        <v>44</v>
      </c>
      <c r="B258" t="s">
        <v>89</v>
      </c>
      <c r="C258">
        <v>35</v>
      </c>
      <c r="D258">
        <v>27</v>
      </c>
      <c r="E258">
        <v>8</v>
      </c>
      <c r="F258">
        <v>22.86</v>
      </c>
      <c r="G258">
        <v>9</v>
      </c>
      <c r="H258">
        <v>33.33</v>
      </c>
    </row>
    <row r="259" spans="1:8" x14ac:dyDescent="0.3">
      <c r="A259" t="s">
        <v>44</v>
      </c>
      <c r="B259" t="s">
        <v>90</v>
      </c>
      <c r="C259">
        <v>35</v>
      </c>
      <c r="D259">
        <v>19</v>
      </c>
      <c r="E259">
        <v>16</v>
      </c>
      <c r="F259">
        <v>45.71</v>
      </c>
      <c r="G259">
        <v>9</v>
      </c>
      <c r="H259">
        <v>47.37</v>
      </c>
    </row>
    <row r="260" spans="1:8" x14ac:dyDescent="0.3">
      <c r="A260" t="s">
        <v>44</v>
      </c>
      <c r="B260" t="s">
        <v>91</v>
      </c>
      <c r="C260">
        <v>35</v>
      </c>
      <c r="D260">
        <v>23</v>
      </c>
      <c r="E260">
        <v>12</v>
      </c>
      <c r="F260">
        <v>34.29</v>
      </c>
      <c r="G260">
        <v>13</v>
      </c>
      <c r="H260">
        <v>56.52</v>
      </c>
    </row>
    <row r="261" spans="1:8" x14ac:dyDescent="0.3">
      <c r="A261" t="s">
        <v>45</v>
      </c>
      <c r="B261" t="s">
        <v>85</v>
      </c>
      <c r="C261">
        <v>171</v>
      </c>
      <c r="D261">
        <v>149</v>
      </c>
      <c r="E261">
        <v>22</v>
      </c>
      <c r="F261">
        <v>12.87</v>
      </c>
      <c r="G261">
        <v>21</v>
      </c>
      <c r="H261">
        <v>14.09</v>
      </c>
    </row>
    <row r="262" spans="1:8" x14ac:dyDescent="0.3">
      <c r="A262" t="s">
        <v>45</v>
      </c>
      <c r="B262" t="s">
        <v>86</v>
      </c>
      <c r="C262">
        <v>171</v>
      </c>
      <c r="D262">
        <v>117</v>
      </c>
      <c r="E262">
        <v>54</v>
      </c>
      <c r="F262">
        <v>31.58</v>
      </c>
      <c r="G262">
        <v>7</v>
      </c>
      <c r="H262">
        <v>5.98</v>
      </c>
    </row>
    <row r="263" spans="1:8" x14ac:dyDescent="0.3">
      <c r="A263" t="s">
        <v>45</v>
      </c>
      <c r="B263" t="s">
        <v>87</v>
      </c>
      <c r="C263">
        <v>171</v>
      </c>
      <c r="D263">
        <v>151</v>
      </c>
      <c r="E263">
        <v>20</v>
      </c>
      <c r="F263">
        <v>11.7</v>
      </c>
      <c r="G263">
        <v>14</v>
      </c>
      <c r="H263">
        <v>9.27</v>
      </c>
    </row>
    <row r="264" spans="1:8" x14ac:dyDescent="0.3">
      <c r="A264" t="s">
        <v>45</v>
      </c>
      <c r="B264" t="s">
        <v>88</v>
      </c>
      <c r="C264">
        <v>171</v>
      </c>
      <c r="D264">
        <v>150</v>
      </c>
      <c r="E264">
        <v>21</v>
      </c>
      <c r="F264">
        <v>12.28</v>
      </c>
      <c r="G264">
        <v>100</v>
      </c>
      <c r="H264">
        <v>66.67</v>
      </c>
    </row>
    <row r="265" spans="1:8" x14ac:dyDescent="0.3">
      <c r="A265" t="s">
        <v>45</v>
      </c>
      <c r="B265" t="s">
        <v>89</v>
      </c>
      <c r="C265">
        <v>171</v>
      </c>
      <c r="D265">
        <v>155</v>
      </c>
      <c r="E265">
        <v>16</v>
      </c>
      <c r="F265">
        <v>9.36</v>
      </c>
      <c r="G265">
        <v>87</v>
      </c>
      <c r="H265">
        <v>56.13</v>
      </c>
    </row>
    <row r="266" spans="1:8" x14ac:dyDescent="0.3">
      <c r="A266" t="s">
        <v>45</v>
      </c>
      <c r="B266" t="s">
        <v>90</v>
      </c>
      <c r="C266">
        <v>171</v>
      </c>
      <c r="D266">
        <v>136</v>
      </c>
      <c r="E266">
        <v>35</v>
      </c>
      <c r="F266">
        <v>20.47</v>
      </c>
      <c r="G266">
        <v>54</v>
      </c>
      <c r="H266">
        <v>39.71</v>
      </c>
    </row>
    <row r="267" spans="1:8" x14ac:dyDescent="0.3">
      <c r="A267" t="s">
        <v>45</v>
      </c>
      <c r="B267" t="s">
        <v>91</v>
      </c>
      <c r="C267">
        <v>171</v>
      </c>
      <c r="D267">
        <v>152</v>
      </c>
      <c r="E267">
        <v>19</v>
      </c>
      <c r="F267">
        <v>11.11</v>
      </c>
      <c r="G267">
        <v>106</v>
      </c>
      <c r="H267">
        <v>69.739999999999995</v>
      </c>
    </row>
    <row r="268" spans="1:8" x14ac:dyDescent="0.3">
      <c r="A268" t="s">
        <v>46</v>
      </c>
      <c r="B268" t="s">
        <v>85</v>
      </c>
      <c r="C268">
        <v>168</v>
      </c>
      <c r="D268">
        <v>134</v>
      </c>
      <c r="E268">
        <v>34</v>
      </c>
      <c r="F268">
        <v>20.239999999999998</v>
      </c>
      <c r="G268">
        <v>5</v>
      </c>
      <c r="H268">
        <v>3.73</v>
      </c>
    </row>
    <row r="269" spans="1:8" x14ac:dyDescent="0.3">
      <c r="A269" t="s">
        <v>46</v>
      </c>
      <c r="B269" t="s">
        <v>86</v>
      </c>
      <c r="C269">
        <v>168</v>
      </c>
      <c r="D269">
        <v>124</v>
      </c>
      <c r="E269">
        <v>44</v>
      </c>
      <c r="F269">
        <v>26.19</v>
      </c>
      <c r="G269">
        <v>5</v>
      </c>
      <c r="H269">
        <v>4.03</v>
      </c>
    </row>
    <row r="270" spans="1:8" x14ac:dyDescent="0.3">
      <c r="A270" t="s">
        <v>46</v>
      </c>
      <c r="B270" t="s">
        <v>87</v>
      </c>
      <c r="C270">
        <v>168</v>
      </c>
      <c r="D270">
        <v>140</v>
      </c>
      <c r="E270">
        <v>28</v>
      </c>
      <c r="F270">
        <v>16.670000000000002</v>
      </c>
      <c r="G270">
        <v>5</v>
      </c>
      <c r="H270">
        <v>3.57</v>
      </c>
    </row>
    <row r="271" spans="1:8" x14ac:dyDescent="0.3">
      <c r="A271" t="s">
        <v>46</v>
      </c>
      <c r="B271" t="s">
        <v>88</v>
      </c>
      <c r="C271">
        <v>168</v>
      </c>
      <c r="D271">
        <v>144</v>
      </c>
      <c r="E271">
        <v>24</v>
      </c>
      <c r="F271">
        <v>14.29</v>
      </c>
      <c r="G271">
        <v>33</v>
      </c>
      <c r="H271">
        <v>22.92</v>
      </c>
    </row>
    <row r="272" spans="1:8" x14ac:dyDescent="0.3">
      <c r="A272" t="s">
        <v>46</v>
      </c>
      <c r="B272" t="s">
        <v>89</v>
      </c>
      <c r="C272">
        <v>168</v>
      </c>
      <c r="D272">
        <v>143</v>
      </c>
      <c r="E272">
        <v>25</v>
      </c>
      <c r="F272">
        <v>14.88</v>
      </c>
      <c r="G272">
        <v>24</v>
      </c>
      <c r="H272">
        <v>16.78</v>
      </c>
    </row>
    <row r="273" spans="1:8" x14ac:dyDescent="0.3">
      <c r="A273" t="s">
        <v>46</v>
      </c>
      <c r="B273" t="s">
        <v>90</v>
      </c>
      <c r="C273">
        <v>168</v>
      </c>
      <c r="D273">
        <v>113</v>
      </c>
      <c r="E273">
        <v>55</v>
      </c>
      <c r="F273">
        <v>32.74</v>
      </c>
      <c r="G273">
        <v>28</v>
      </c>
      <c r="H273">
        <v>24.78</v>
      </c>
    </row>
    <row r="274" spans="1:8" x14ac:dyDescent="0.3">
      <c r="A274" t="s">
        <v>46</v>
      </c>
      <c r="B274" t="s">
        <v>91</v>
      </c>
      <c r="C274">
        <v>168</v>
      </c>
      <c r="D274">
        <v>133</v>
      </c>
      <c r="E274">
        <v>35</v>
      </c>
      <c r="F274">
        <v>20.83</v>
      </c>
      <c r="G274">
        <v>17</v>
      </c>
      <c r="H274">
        <v>12.78</v>
      </c>
    </row>
    <row r="275" spans="1:8" x14ac:dyDescent="0.3">
      <c r="A275" t="s">
        <v>47</v>
      </c>
      <c r="B275" t="s">
        <v>85</v>
      </c>
      <c r="C275">
        <v>124</v>
      </c>
      <c r="D275">
        <v>90</v>
      </c>
      <c r="E275">
        <v>34</v>
      </c>
      <c r="F275">
        <v>27.42</v>
      </c>
      <c r="G275">
        <v>9</v>
      </c>
      <c r="H275">
        <v>10</v>
      </c>
    </row>
    <row r="276" spans="1:8" x14ac:dyDescent="0.3">
      <c r="A276" t="s">
        <v>47</v>
      </c>
      <c r="B276" t="s">
        <v>86</v>
      </c>
      <c r="C276">
        <v>124</v>
      </c>
      <c r="D276">
        <v>57</v>
      </c>
      <c r="E276">
        <v>67</v>
      </c>
      <c r="F276">
        <v>54.03</v>
      </c>
      <c r="G276">
        <v>23</v>
      </c>
      <c r="H276">
        <v>40.35</v>
      </c>
    </row>
    <row r="277" spans="1:8" x14ac:dyDescent="0.3">
      <c r="A277" t="s">
        <v>47</v>
      </c>
      <c r="B277" t="s">
        <v>87</v>
      </c>
      <c r="C277">
        <v>124</v>
      </c>
      <c r="D277">
        <v>74</v>
      </c>
      <c r="E277">
        <v>50</v>
      </c>
      <c r="F277">
        <v>40.32</v>
      </c>
      <c r="G277">
        <v>8</v>
      </c>
      <c r="H277">
        <v>10.81</v>
      </c>
    </row>
    <row r="278" spans="1:8" x14ac:dyDescent="0.3">
      <c r="A278" t="s">
        <v>47</v>
      </c>
      <c r="B278" t="s">
        <v>88</v>
      </c>
      <c r="C278">
        <v>124</v>
      </c>
      <c r="D278">
        <v>70</v>
      </c>
      <c r="E278">
        <v>54</v>
      </c>
      <c r="F278">
        <v>43.55</v>
      </c>
      <c r="G278">
        <v>17</v>
      </c>
      <c r="H278">
        <v>24.29</v>
      </c>
    </row>
    <row r="279" spans="1:8" x14ac:dyDescent="0.3">
      <c r="A279" t="s">
        <v>47</v>
      </c>
      <c r="B279" t="s">
        <v>89</v>
      </c>
      <c r="C279">
        <v>124</v>
      </c>
      <c r="D279">
        <v>85</v>
      </c>
      <c r="E279">
        <v>39</v>
      </c>
      <c r="F279">
        <v>31.45</v>
      </c>
      <c r="G279">
        <v>9</v>
      </c>
      <c r="H279">
        <v>10.59</v>
      </c>
    </row>
    <row r="280" spans="1:8" x14ac:dyDescent="0.3">
      <c r="A280" t="s">
        <v>47</v>
      </c>
      <c r="B280" t="s">
        <v>90</v>
      </c>
      <c r="C280">
        <v>124</v>
      </c>
      <c r="D280">
        <v>48</v>
      </c>
      <c r="E280">
        <v>76</v>
      </c>
      <c r="F280">
        <v>61.29</v>
      </c>
      <c r="G280">
        <v>9</v>
      </c>
      <c r="H280">
        <v>18.75</v>
      </c>
    </row>
    <row r="281" spans="1:8" x14ac:dyDescent="0.3">
      <c r="A281" t="s">
        <v>47</v>
      </c>
      <c r="B281" t="s">
        <v>91</v>
      </c>
      <c r="C281">
        <v>124</v>
      </c>
      <c r="D281">
        <v>80</v>
      </c>
      <c r="E281">
        <v>44</v>
      </c>
      <c r="F281">
        <v>35.479999999999997</v>
      </c>
      <c r="G281">
        <v>3</v>
      </c>
      <c r="H281">
        <v>3.75</v>
      </c>
    </row>
    <row r="282" spans="1:8" x14ac:dyDescent="0.3">
      <c r="A282" t="s">
        <v>48</v>
      </c>
      <c r="B282" t="s">
        <v>85</v>
      </c>
      <c r="C282">
        <v>60</v>
      </c>
      <c r="D282">
        <v>50</v>
      </c>
      <c r="E282">
        <v>10</v>
      </c>
      <c r="F282">
        <v>16.670000000000002</v>
      </c>
      <c r="G282">
        <v>5</v>
      </c>
      <c r="H282">
        <v>10</v>
      </c>
    </row>
    <row r="283" spans="1:8" x14ac:dyDescent="0.3">
      <c r="A283" t="s">
        <v>48</v>
      </c>
      <c r="B283" t="s">
        <v>86</v>
      </c>
      <c r="C283">
        <v>60</v>
      </c>
      <c r="D283">
        <v>33</v>
      </c>
      <c r="E283">
        <v>27</v>
      </c>
      <c r="F283">
        <v>45</v>
      </c>
      <c r="G283">
        <v>1</v>
      </c>
      <c r="H283">
        <v>3.03</v>
      </c>
    </row>
    <row r="284" spans="1:8" x14ac:dyDescent="0.3">
      <c r="A284" t="s">
        <v>48</v>
      </c>
      <c r="B284" t="s">
        <v>87</v>
      </c>
      <c r="C284">
        <v>60</v>
      </c>
      <c r="D284">
        <v>46</v>
      </c>
      <c r="E284">
        <v>14</v>
      </c>
      <c r="F284">
        <v>23.33</v>
      </c>
      <c r="G284">
        <v>8</v>
      </c>
      <c r="H284">
        <v>17.39</v>
      </c>
    </row>
    <row r="285" spans="1:8" x14ac:dyDescent="0.3">
      <c r="A285" t="s">
        <v>48</v>
      </c>
      <c r="B285" t="s">
        <v>88</v>
      </c>
      <c r="C285">
        <v>60</v>
      </c>
      <c r="D285">
        <v>50</v>
      </c>
      <c r="E285">
        <v>10</v>
      </c>
      <c r="F285">
        <v>16.670000000000002</v>
      </c>
      <c r="G285">
        <v>5</v>
      </c>
      <c r="H285">
        <v>10</v>
      </c>
    </row>
    <row r="286" spans="1:8" x14ac:dyDescent="0.3">
      <c r="A286" t="s">
        <v>48</v>
      </c>
      <c r="B286" t="s">
        <v>89</v>
      </c>
      <c r="C286">
        <v>60</v>
      </c>
      <c r="D286">
        <v>53</v>
      </c>
      <c r="E286">
        <v>7</v>
      </c>
      <c r="F286">
        <v>11.67</v>
      </c>
      <c r="G286">
        <v>2</v>
      </c>
      <c r="H286">
        <v>3.77</v>
      </c>
    </row>
    <row r="287" spans="1:8" x14ac:dyDescent="0.3">
      <c r="A287" t="s">
        <v>48</v>
      </c>
      <c r="B287" t="s">
        <v>90</v>
      </c>
      <c r="C287">
        <v>60</v>
      </c>
      <c r="D287">
        <v>32</v>
      </c>
      <c r="E287">
        <v>28</v>
      </c>
      <c r="F287">
        <v>46.67</v>
      </c>
      <c r="G287">
        <v>7</v>
      </c>
      <c r="H287">
        <v>21.88</v>
      </c>
    </row>
    <row r="288" spans="1:8" x14ac:dyDescent="0.3">
      <c r="A288" t="s">
        <v>48</v>
      </c>
      <c r="B288" t="s">
        <v>91</v>
      </c>
      <c r="C288">
        <v>60</v>
      </c>
      <c r="D288">
        <v>47</v>
      </c>
      <c r="E288">
        <v>13</v>
      </c>
      <c r="F288">
        <v>21.67</v>
      </c>
      <c r="G288">
        <v>4</v>
      </c>
      <c r="H288">
        <v>8.51</v>
      </c>
    </row>
    <row r="289" spans="1:8" x14ac:dyDescent="0.3">
      <c r="A289" t="s">
        <v>49</v>
      </c>
      <c r="B289" t="s">
        <v>85</v>
      </c>
      <c r="C289">
        <v>171</v>
      </c>
      <c r="D289">
        <v>149</v>
      </c>
      <c r="E289">
        <v>22</v>
      </c>
      <c r="F289">
        <v>12.87</v>
      </c>
      <c r="G289">
        <v>6</v>
      </c>
      <c r="H289">
        <v>4.03</v>
      </c>
    </row>
    <row r="290" spans="1:8" x14ac:dyDescent="0.3">
      <c r="A290" t="s">
        <v>49</v>
      </c>
      <c r="B290" t="s">
        <v>86</v>
      </c>
      <c r="C290">
        <v>171</v>
      </c>
      <c r="D290">
        <v>123</v>
      </c>
      <c r="E290">
        <v>48</v>
      </c>
      <c r="F290">
        <v>28.07</v>
      </c>
      <c r="G290">
        <v>20</v>
      </c>
      <c r="H290">
        <v>16.260000000000002</v>
      </c>
    </row>
    <row r="291" spans="1:8" x14ac:dyDescent="0.3">
      <c r="A291" t="s">
        <v>49</v>
      </c>
      <c r="B291" t="s">
        <v>87</v>
      </c>
      <c r="C291">
        <v>171</v>
      </c>
      <c r="D291">
        <v>145</v>
      </c>
      <c r="E291">
        <v>26</v>
      </c>
      <c r="F291">
        <v>15.2</v>
      </c>
      <c r="G291">
        <v>11</v>
      </c>
      <c r="H291">
        <v>7.59</v>
      </c>
    </row>
    <row r="292" spans="1:8" x14ac:dyDescent="0.3">
      <c r="A292" t="s">
        <v>49</v>
      </c>
      <c r="B292" t="s">
        <v>88</v>
      </c>
      <c r="C292">
        <v>171</v>
      </c>
      <c r="D292">
        <v>155</v>
      </c>
      <c r="E292">
        <v>16</v>
      </c>
      <c r="F292">
        <v>9.36</v>
      </c>
      <c r="G292">
        <v>55</v>
      </c>
      <c r="H292">
        <v>35.479999999999997</v>
      </c>
    </row>
    <row r="293" spans="1:8" x14ac:dyDescent="0.3">
      <c r="A293" t="s">
        <v>49</v>
      </c>
      <c r="B293" t="s">
        <v>89</v>
      </c>
      <c r="C293">
        <v>171</v>
      </c>
      <c r="D293">
        <v>147</v>
      </c>
      <c r="E293">
        <v>24</v>
      </c>
      <c r="F293">
        <v>14.04</v>
      </c>
      <c r="G293">
        <v>46</v>
      </c>
      <c r="H293">
        <v>31.29</v>
      </c>
    </row>
    <row r="294" spans="1:8" x14ac:dyDescent="0.3">
      <c r="A294" t="s">
        <v>49</v>
      </c>
      <c r="B294" t="s">
        <v>90</v>
      </c>
      <c r="C294">
        <v>171</v>
      </c>
      <c r="D294">
        <v>125</v>
      </c>
      <c r="E294">
        <v>46</v>
      </c>
      <c r="F294">
        <v>26.9</v>
      </c>
      <c r="G294">
        <v>37</v>
      </c>
      <c r="H294">
        <v>29.6</v>
      </c>
    </row>
    <row r="295" spans="1:8" x14ac:dyDescent="0.3">
      <c r="A295" t="s">
        <v>49</v>
      </c>
      <c r="B295" t="s">
        <v>91</v>
      </c>
      <c r="C295">
        <v>171</v>
      </c>
      <c r="D295">
        <v>149</v>
      </c>
      <c r="E295">
        <v>22</v>
      </c>
      <c r="F295">
        <v>12.87</v>
      </c>
      <c r="G295">
        <v>45</v>
      </c>
      <c r="H295">
        <v>30.2</v>
      </c>
    </row>
    <row r="296" spans="1:8" x14ac:dyDescent="0.3">
      <c r="A296" t="s">
        <v>50</v>
      </c>
      <c r="B296" t="s">
        <v>85</v>
      </c>
      <c r="C296">
        <v>52</v>
      </c>
      <c r="D296">
        <v>10</v>
      </c>
      <c r="E296">
        <v>42</v>
      </c>
      <c r="F296">
        <v>80.77</v>
      </c>
      <c r="G296">
        <v>8</v>
      </c>
      <c r="H296">
        <v>80</v>
      </c>
    </row>
    <row r="297" spans="1:8" x14ac:dyDescent="0.3">
      <c r="A297" t="s">
        <v>50</v>
      </c>
      <c r="B297" t="s">
        <v>86</v>
      </c>
      <c r="C297">
        <v>52</v>
      </c>
      <c r="D297">
        <v>0</v>
      </c>
      <c r="E297">
        <v>52</v>
      </c>
      <c r="F297">
        <v>100</v>
      </c>
      <c r="G297">
        <v>0</v>
      </c>
    </row>
    <row r="298" spans="1:8" x14ac:dyDescent="0.3">
      <c r="A298" t="s">
        <v>50</v>
      </c>
      <c r="B298" t="s">
        <v>87</v>
      </c>
      <c r="C298">
        <v>52</v>
      </c>
      <c r="D298">
        <v>18</v>
      </c>
      <c r="E298">
        <v>34</v>
      </c>
      <c r="F298">
        <v>65.38</v>
      </c>
      <c r="G298">
        <v>1</v>
      </c>
      <c r="H298">
        <v>5.56</v>
      </c>
    </row>
    <row r="299" spans="1:8" x14ac:dyDescent="0.3">
      <c r="A299" t="s">
        <v>50</v>
      </c>
      <c r="B299" t="s">
        <v>88</v>
      </c>
      <c r="C299">
        <v>52</v>
      </c>
      <c r="D299">
        <v>0</v>
      </c>
      <c r="E299">
        <v>52</v>
      </c>
      <c r="F299">
        <v>100</v>
      </c>
      <c r="G299">
        <v>0</v>
      </c>
    </row>
    <row r="300" spans="1:8" x14ac:dyDescent="0.3">
      <c r="A300" t="s">
        <v>50</v>
      </c>
      <c r="B300" t="s">
        <v>89</v>
      </c>
      <c r="C300">
        <v>52</v>
      </c>
      <c r="D300">
        <v>25</v>
      </c>
      <c r="E300">
        <v>27</v>
      </c>
      <c r="F300">
        <v>51.92</v>
      </c>
      <c r="G300">
        <v>7</v>
      </c>
      <c r="H300">
        <v>28</v>
      </c>
    </row>
    <row r="301" spans="1:8" x14ac:dyDescent="0.3">
      <c r="A301" t="s">
        <v>50</v>
      </c>
      <c r="B301" t="s">
        <v>90</v>
      </c>
      <c r="C301">
        <v>52</v>
      </c>
      <c r="D301">
        <v>6</v>
      </c>
      <c r="E301">
        <v>46</v>
      </c>
      <c r="F301">
        <v>88.46</v>
      </c>
      <c r="G301">
        <v>0</v>
      </c>
      <c r="H301">
        <v>0</v>
      </c>
    </row>
    <row r="302" spans="1:8" x14ac:dyDescent="0.3">
      <c r="A302" t="s">
        <v>50</v>
      </c>
      <c r="B302" t="s">
        <v>91</v>
      </c>
      <c r="C302">
        <v>52</v>
      </c>
      <c r="D302">
        <v>0</v>
      </c>
      <c r="E302">
        <v>52</v>
      </c>
      <c r="F302">
        <v>100</v>
      </c>
      <c r="G302">
        <v>0</v>
      </c>
    </row>
    <row r="303" spans="1:8" x14ac:dyDescent="0.3">
      <c r="A303" t="s">
        <v>51</v>
      </c>
      <c r="B303" t="s">
        <v>85</v>
      </c>
      <c r="C303">
        <v>11</v>
      </c>
      <c r="D303">
        <v>11</v>
      </c>
      <c r="E303">
        <v>0</v>
      </c>
      <c r="F303">
        <v>0</v>
      </c>
      <c r="G303">
        <v>0</v>
      </c>
      <c r="H303">
        <v>0</v>
      </c>
    </row>
    <row r="304" spans="1:8" x14ac:dyDescent="0.3">
      <c r="A304" t="s">
        <v>51</v>
      </c>
      <c r="B304" t="s">
        <v>86</v>
      </c>
      <c r="C304">
        <v>11</v>
      </c>
      <c r="D304">
        <v>9</v>
      </c>
      <c r="E304">
        <v>2</v>
      </c>
      <c r="F304">
        <v>18.18</v>
      </c>
      <c r="G304">
        <v>0</v>
      </c>
      <c r="H304">
        <v>0</v>
      </c>
    </row>
    <row r="305" spans="1:8" x14ac:dyDescent="0.3">
      <c r="A305" t="s">
        <v>51</v>
      </c>
      <c r="B305" t="s">
        <v>87</v>
      </c>
      <c r="C305">
        <v>11</v>
      </c>
      <c r="D305">
        <v>10</v>
      </c>
      <c r="E305">
        <v>1</v>
      </c>
      <c r="F305">
        <v>9.09</v>
      </c>
      <c r="G305">
        <v>0</v>
      </c>
      <c r="H305">
        <v>0</v>
      </c>
    </row>
    <row r="306" spans="1:8" x14ac:dyDescent="0.3">
      <c r="A306" t="s">
        <v>51</v>
      </c>
      <c r="B306" t="s">
        <v>88</v>
      </c>
      <c r="C306">
        <v>11</v>
      </c>
      <c r="D306">
        <v>11</v>
      </c>
      <c r="E306">
        <v>0</v>
      </c>
      <c r="F306">
        <v>0</v>
      </c>
      <c r="G306">
        <v>5</v>
      </c>
      <c r="H306">
        <v>45.45</v>
      </c>
    </row>
    <row r="307" spans="1:8" x14ac:dyDescent="0.3">
      <c r="A307" t="s">
        <v>51</v>
      </c>
      <c r="B307" t="s">
        <v>89</v>
      </c>
      <c r="C307">
        <v>11</v>
      </c>
      <c r="D307">
        <v>10</v>
      </c>
      <c r="E307">
        <v>1</v>
      </c>
      <c r="F307">
        <v>9.09</v>
      </c>
      <c r="G307">
        <v>5</v>
      </c>
      <c r="H307">
        <v>50</v>
      </c>
    </row>
    <row r="308" spans="1:8" x14ac:dyDescent="0.3">
      <c r="A308" t="s">
        <v>51</v>
      </c>
      <c r="B308" t="s">
        <v>90</v>
      </c>
      <c r="C308">
        <v>11</v>
      </c>
      <c r="D308">
        <v>11</v>
      </c>
      <c r="E308">
        <v>0</v>
      </c>
      <c r="F308">
        <v>0</v>
      </c>
      <c r="G308">
        <v>2</v>
      </c>
      <c r="H308">
        <v>18.18</v>
      </c>
    </row>
    <row r="309" spans="1:8" x14ac:dyDescent="0.3">
      <c r="A309" t="s">
        <v>51</v>
      </c>
      <c r="B309" t="s">
        <v>91</v>
      </c>
      <c r="C309">
        <v>11</v>
      </c>
      <c r="D309">
        <v>11</v>
      </c>
      <c r="E309">
        <v>0</v>
      </c>
      <c r="F309">
        <v>0</v>
      </c>
      <c r="G309">
        <v>6</v>
      </c>
      <c r="H309">
        <v>54.55</v>
      </c>
    </row>
    <row r="310" spans="1:8" x14ac:dyDescent="0.3">
      <c r="A310" t="s">
        <v>52</v>
      </c>
      <c r="B310" t="s">
        <v>85</v>
      </c>
      <c r="C310">
        <v>60</v>
      </c>
      <c r="D310">
        <v>52</v>
      </c>
      <c r="E310">
        <v>8</v>
      </c>
      <c r="F310">
        <v>13.33</v>
      </c>
      <c r="G310">
        <v>3</v>
      </c>
      <c r="H310">
        <v>5.77</v>
      </c>
    </row>
    <row r="311" spans="1:8" x14ac:dyDescent="0.3">
      <c r="A311" t="s">
        <v>52</v>
      </c>
      <c r="B311" t="s">
        <v>86</v>
      </c>
      <c r="C311">
        <v>60</v>
      </c>
      <c r="D311">
        <v>47</v>
      </c>
      <c r="E311">
        <v>13</v>
      </c>
      <c r="F311">
        <v>21.67</v>
      </c>
      <c r="G311">
        <v>3</v>
      </c>
      <c r="H311">
        <v>6.38</v>
      </c>
    </row>
    <row r="312" spans="1:8" x14ac:dyDescent="0.3">
      <c r="A312" t="s">
        <v>52</v>
      </c>
      <c r="B312" t="s">
        <v>87</v>
      </c>
      <c r="C312">
        <v>60</v>
      </c>
      <c r="D312">
        <v>51</v>
      </c>
      <c r="E312">
        <v>9</v>
      </c>
      <c r="F312">
        <v>15</v>
      </c>
      <c r="G312">
        <v>8</v>
      </c>
      <c r="H312">
        <v>15.69</v>
      </c>
    </row>
    <row r="313" spans="1:8" x14ac:dyDescent="0.3">
      <c r="A313" t="s">
        <v>52</v>
      </c>
      <c r="B313" t="s">
        <v>88</v>
      </c>
      <c r="C313">
        <v>60</v>
      </c>
      <c r="D313">
        <v>51</v>
      </c>
      <c r="E313">
        <v>9</v>
      </c>
      <c r="F313">
        <v>15</v>
      </c>
      <c r="G313">
        <v>11</v>
      </c>
      <c r="H313">
        <v>21.57</v>
      </c>
    </row>
    <row r="314" spans="1:8" x14ac:dyDescent="0.3">
      <c r="A314" t="s">
        <v>52</v>
      </c>
      <c r="B314" t="s">
        <v>89</v>
      </c>
      <c r="C314">
        <v>60</v>
      </c>
      <c r="D314">
        <v>52</v>
      </c>
      <c r="E314">
        <v>8</v>
      </c>
      <c r="F314">
        <v>13.33</v>
      </c>
      <c r="G314">
        <v>12</v>
      </c>
      <c r="H314">
        <v>23.08</v>
      </c>
    </row>
    <row r="315" spans="1:8" x14ac:dyDescent="0.3">
      <c r="A315" t="s">
        <v>52</v>
      </c>
      <c r="B315" t="s">
        <v>90</v>
      </c>
      <c r="C315">
        <v>60</v>
      </c>
      <c r="D315">
        <v>44</v>
      </c>
      <c r="E315">
        <v>16</v>
      </c>
      <c r="F315">
        <v>26.67</v>
      </c>
      <c r="G315">
        <v>10</v>
      </c>
      <c r="H315">
        <v>22.73</v>
      </c>
    </row>
    <row r="316" spans="1:8" x14ac:dyDescent="0.3">
      <c r="A316" t="s">
        <v>52</v>
      </c>
      <c r="B316" t="s">
        <v>91</v>
      </c>
      <c r="C316">
        <v>60</v>
      </c>
      <c r="D316">
        <v>51</v>
      </c>
      <c r="E316">
        <v>9</v>
      </c>
      <c r="F316">
        <v>15</v>
      </c>
      <c r="G316">
        <v>15</v>
      </c>
      <c r="H316">
        <v>29.41</v>
      </c>
    </row>
    <row r="317" spans="1:8" x14ac:dyDescent="0.3">
      <c r="A317" t="s">
        <v>53</v>
      </c>
      <c r="B317" t="s">
        <v>85</v>
      </c>
      <c r="C317">
        <v>60</v>
      </c>
      <c r="D317">
        <v>19</v>
      </c>
      <c r="E317">
        <v>41</v>
      </c>
      <c r="F317">
        <v>68.33</v>
      </c>
      <c r="G317">
        <v>1</v>
      </c>
      <c r="H317">
        <v>5.26</v>
      </c>
    </row>
    <row r="318" spans="1:8" x14ac:dyDescent="0.3">
      <c r="A318" t="s">
        <v>53</v>
      </c>
      <c r="B318" t="s">
        <v>86</v>
      </c>
      <c r="C318">
        <v>60</v>
      </c>
      <c r="D318">
        <v>12</v>
      </c>
      <c r="E318">
        <v>48</v>
      </c>
      <c r="F318">
        <v>80</v>
      </c>
      <c r="G318">
        <v>0</v>
      </c>
      <c r="H318">
        <v>0</v>
      </c>
    </row>
    <row r="319" spans="1:8" x14ac:dyDescent="0.3">
      <c r="A319" t="s">
        <v>53</v>
      </c>
      <c r="B319" t="s">
        <v>87</v>
      </c>
      <c r="C319">
        <v>60</v>
      </c>
      <c r="D319">
        <v>16</v>
      </c>
      <c r="E319">
        <v>44</v>
      </c>
      <c r="F319">
        <v>73.33</v>
      </c>
      <c r="G319">
        <v>0</v>
      </c>
      <c r="H319">
        <v>0</v>
      </c>
    </row>
    <row r="320" spans="1:8" x14ac:dyDescent="0.3">
      <c r="A320" t="s">
        <v>53</v>
      </c>
      <c r="B320" t="s">
        <v>88</v>
      </c>
      <c r="C320">
        <v>60</v>
      </c>
      <c r="D320">
        <v>17</v>
      </c>
      <c r="E320">
        <v>43</v>
      </c>
      <c r="F320">
        <v>71.67</v>
      </c>
      <c r="G320">
        <v>1</v>
      </c>
      <c r="H320">
        <v>5.88</v>
      </c>
    </row>
    <row r="321" spans="1:8" x14ac:dyDescent="0.3">
      <c r="A321" t="s">
        <v>53</v>
      </c>
      <c r="B321" t="s">
        <v>89</v>
      </c>
      <c r="C321">
        <v>60</v>
      </c>
      <c r="D321">
        <v>26</v>
      </c>
      <c r="E321">
        <v>34</v>
      </c>
      <c r="F321">
        <v>56.67</v>
      </c>
      <c r="G321">
        <v>0</v>
      </c>
      <c r="H321">
        <v>0</v>
      </c>
    </row>
    <row r="322" spans="1:8" x14ac:dyDescent="0.3">
      <c r="A322" t="s">
        <v>53</v>
      </c>
      <c r="B322" t="s">
        <v>90</v>
      </c>
      <c r="C322">
        <v>60</v>
      </c>
      <c r="D322">
        <v>10</v>
      </c>
      <c r="E322">
        <v>50</v>
      </c>
      <c r="F322">
        <v>83.33</v>
      </c>
      <c r="G322">
        <v>3</v>
      </c>
      <c r="H322">
        <v>30</v>
      </c>
    </row>
    <row r="323" spans="1:8" x14ac:dyDescent="0.3">
      <c r="A323" t="s">
        <v>53</v>
      </c>
      <c r="B323" t="s">
        <v>91</v>
      </c>
      <c r="C323">
        <v>60</v>
      </c>
      <c r="D323">
        <v>15</v>
      </c>
      <c r="E323">
        <v>45</v>
      </c>
      <c r="F323">
        <v>75</v>
      </c>
      <c r="G323">
        <v>0</v>
      </c>
      <c r="H323">
        <v>0</v>
      </c>
    </row>
    <row r="324" spans="1:8" x14ac:dyDescent="0.3">
      <c r="A324" t="s">
        <v>54</v>
      </c>
      <c r="B324" t="s">
        <v>85</v>
      </c>
      <c r="C324">
        <v>107</v>
      </c>
      <c r="D324">
        <v>95</v>
      </c>
      <c r="E324">
        <v>12</v>
      </c>
      <c r="F324">
        <v>11.21</v>
      </c>
      <c r="G324">
        <v>3</v>
      </c>
      <c r="H324">
        <v>3.16</v>
      </c>
    </row>
    <row r="325" spans="1:8" x14ac:dyDescent="0.3">
      <c r="A325" t="s">
        <v>54</v>
      </c>
      <c r="B325" t="s">
        <v>86</v>
      </c>
      <c r="C325">
        <v>107</v>
      </c>
      <c r="D325">
        <v>71</v>
      </c>
      <c r="E325">
        <v>36</v>
      </c>
      <c r="F325">
        <v>33.64</v>
      </c>
      <c r="G325">
        <v>2</v>
      </c>
      <c r="H325">
        <v>2.82</v>
      </c>
    </row>
    <row r="326" spans="1:8" x14ac:dyDescent="0.3">
      <c r="A326" t="s">
        <v>54</v>
      </c>
      <c r="B326" t="s">
        <v>87</v>
      </c>
      <c r="C326">
        <v>107</v>
      </c>
      <c r="D326">
        <v>93</v>
      </c>
      <c r="E326">
        <v>14</v>
      </c>
      <c r="F326">
        <v>13.08</v>
      </c>
      <c r="G326">
        <v>18</v>
      </c>
      <c r="H326">
        <v>19.350000000000001</v>
      </c>
    </row>
    <row r="327" spans="1:8" x14ac:dyDescent="0.3">
      <c r="A327" t="s">
        <v>54</v>
      </c>
      <c r="B327" t="s">
        <v>88</v>
      </c>
      <c r="C327">
        <v>107</v>
      </c>
      <c r="D327">
        <v>83</v>
      </c>
      <c r="E327">
        <v>24</v>
      </c>
      <c r="F327">
        <v>22.43</v>
      </c>
      <c r="G327">
        <v>29</v>
      </c>
      <c r="H327">
        <v>34.94</v>
      </c>
    </row>
    <row r="328" spans="1:8" x14ac:dyDescent="0.3">
      <c r="A328" t="s">
        <v>54</v>
      </c>
      <c r="B328" t="s">
        <v>89</v>
      </c>
      <c r="C328">
        <v>107</v>
      </c>
      <c r="D328">
        <v>94</v>
      </c>
      <c r="E328">
        <v>13</v>
      </c>
      <c r="F328">
        <v>12.15</v>
      </c>
      <c r="G328">
        <v>28</v>
      </c>
      <c r="H328">
        <v>29.79</v>
      </c>
    </row>
    <row r="329" spans="1:8" x14ac:dyDescent="0.3">
      <c r="A329" t="s">
        <v>54</v>
      </c>
      <c r="B329" t="s">
        <v>90</v>
      </c>
      <c r="C329">
        <v>107</v>
      </c>
      <c r="D329">
        <v>68</v>
      </c>
      <c r="E329">
        <v>39</v>
      </c>
      <c r="F329">
        <v>36.450000000000003</v>
      </c>
      <c r="G329">
        <v>12</v>
      </c>
      <c r="H329">
        <v>17.649999999999999</v>
      </c>
    </row>
    <row r="330" spans="1:8" x14ac:dyDescent="0.3">
      <c r="A330" t="s">
        <v>54</v>
      </c>
      <c r="B330" t="s">
        <v>91</v>
      </c>
      <c r="C330">
        <v>107</v>
      </c>
      <c r="D330">
        <v>98</v>
      </c>
      <c r="E330">
        <v>9</v>
      </c>
      <c r="F330">
        <v>8.41</v>
      </c>
      <c r="G330">
        <v>15</v>
      </c>
      <c r="H330">
        <v>15.31</v>
      </c>
    </row>
    <row r="331" spans="1:8" x14ac:dyDescent="0.3">
      <c r="A331" t="s">
        <v>55</v>
      </c>
      <c r="B331" t="s">
        <v>85</v>
      </c>
      <c r="C331">
        <v>411</v>
      </c>
      <c r="D331">
        <v>312</v>
      </c>
      <c r="E331">
        <v>99</v>
      </c>
      <c r="F331">
        <v>24.09</v>
      </c>
      <c r="G331">
        <v>23</v>
      </c>
      <c r="H331">
        <v>7.37</v>
      </c>
    </row>
    <row r="332" spans="1:8" x14ac:dyDescent="0.3">
      <c r="A332" t="s">
        <v>55</v>
      </c>
      <c r="B332" t="s">
        <v>86</v>
      </c>
      <c r="C332">
        <v>411</v>
      </c>
      <c r="D332">
        <v>193</v>
      </c>
      <c r="E332">
        <v>218</v>
      </c>
      <c r="F332">
        <v>53.04</v>
      </c>
      <c r="G332">
        <v>46</v>
      </c>
      <c r="H332">
        <v>23.83</v>
      </c>
    </row>
    <row r="333" spans="1:8" x14ac:dyDescent="0.3">
      <c r="A333" t="s">
        <v>55</v>
      </c>
      <c r="B333" t="s">
        <v>87</v>
      </c>
      <c r="C333">
        <v>411</v>
      </c>
      <c r="D333">
        <v>248</v>
      </c>
      <c r="E333">
        <v>163</v>
      </c>
      <c r="F333">
        <v>39.659999999999997</v>
      </c>
      <c r="G333">
        <v>22</v>
      </c>
      <c r="H333">
        <v>8.8699999999999992</v>
      </c>
    </row>
    <row r="334" spans="1:8" x14ac:dyDescent="0.3">
      <c r="A334" t="s">
        <v>55</v>
      </c>
      <c r="B334" t="s">
        <v>88</v>
      </c>
      <c r="C334">
        <v>411</v>
      </c>
      <c r="D334">
        <v>264</v>
      </c>
      <c r="E334">
        <v>147</v>
      </c>
      <c r="F334">
        <v>35.770000000000003</v>
      </c>
      <c r="G334">
        <v>76</v>
      </c>
      <c r="H334">
        <v>28.79</v>
      </c>
    </row>
    <row r="335" spans="1:8" x14ac:dyDescent="0.3">
      <c r="A335" t="s">
        <v>55</v>
      </c>
      <c r="B335" t="s">
        <v>89</v>
      </c>
      <c r="C335">
        <v>411</v>
      </c>
      <c r="D335">
        <v>273</v>
      </c>
      <c r="E335">
        <v>138</v>
      </c>
      <c r="F335">
        <v>33.58</v>
      </c>
      <c r="G335">
        <v>37</v>
      </c>
      <c r="H335">
        <v>13.55</v>
      </c>
    </row>
    <row r="336" spans="1:8" x14ac:dyDescent="0.3">
      <c r="A336" t="s">
        <v>55</v>
      </c>
      <c r="B336" t="s">
        <v>90</v>
      </c>
      <c r="C336">
        <v>411</v>
      </c>
      <c r="D336">
        <v>204</v>
      </c>
      <c r="E336">
        <v>207</v>
      </c>
      <c r="F336">
        <v>50.36</v>
      </c>
      <c r="G336">
        <v>36</v>
      </c>
      <c r="H336">
        <v>17.649999999999999</v>
      </c>
    </row>
    <row r="337" spans="1:8" x14ac:dyDescent="0.3">
      <c r="A337" t="s">
        <v>55</v>
      </c>
      <c r="B337" t="s">
        <v>91</v>
      </c>
      <c r="C337">
        <v>411</v>
      </c>
      <c r="D337">
        <v>301</v>
      </c>
      <c r="E337">
        <v>110</v>
      </c>
      <c r="F337">
        <v>26.76</v>
      </c>
      <c r="G337">
        <v>62</v>
      </c>
      <c r="H337">
        <v>20.6</v>
      </c>
    </row>
    <row r="338" spans="1:8" x14ac:dyDescent="0.3">
      <c r="A338" t="s">
        <v>56</v>
      </c>
      <c r="B338" t="s">
        <v>85</v>
      </c>
      <c r="C338">
        <v>46</v>
      </c>
      <c r="D338">
        <v>37</v>
      </c>
      <c r="E338">
        <v>9</v>
      </c>
      <c r="F338">
        <v>19.57</v>
      </c>
      <c r="G338">
        <v>2</v>
      </c>
      <c r="H338">
        <v>5.41</v>
      </c>
    </row>
    <row r="339" spans="1:8" x14ac:dyDescent="0.3">
      <c r="A339" t="s">
        <v>56</v>
      </c>
      <c r="B339" t="s">
        <v>86</v>
      </c>
      <c r="C339">
        <v>46</v>
      </c>
      <c r="D339">
        <v>24</v>
      </c>
      <c r="E339">
        <v>22</v>
      </c>
      <c r="F339">
        <v>47.83</v>
      </c>
      <c r="G339">
        <v>1</v>
      </c>
      <c r="H339">
        <v>4.17</v>
      </c>
    </row>
    <row r="340" spans="1:8" x14ac:dyDescent="0.3">
      <c r="A340" t="s">
        <v>56</v>
      </c>
      <c r="B340" t="s">
        <v>87</v>
      </c>
      <c r="C340">
        <v>46</v>
      </c>
      <c r="D340">
        <v>21</v>
      </c>
      <c r="E340">
        <v>25</v>
      </c>
      <c r="F340">
        <v>54.35</v>
      </c>
      <c r="G340">
        <v>2</v>
      </c>
      <c r="H340">
        <v>9.52</v>
      </c>
    </row>
    <row r="341" spans="1:8" x14ac:dyDescent="0.3">
      <c r="A341" t="s">
        <v>56</v>
      </c>
      <c r="B341" t="s">
        <v>88</v>
      </c>
      <c r="C341">
        <v>46</v>
      </c>
      <c r="D341">
        <v>34</v>
      </c>
      <c r="E341">
        <v>12</v>
      </c>
      <c r="F341">
        <v>26.09</v>
      </c>
      <c r="G341">
        <v>7</v>
      </c>
      <c r="H341">
        <v>20.59</v>
      </c>
    </row>
    <row r="342" spans="1:8" x14ac:dyDescent="0.3">
      <c r="A342" t="s">
        <v>56</v>
      </c>
      <c r="B342" t="s">
        <v>89</v>
      </c>
      <c r="C342">
        <v>46</v>
      </c>
      <c r="D342">
        <v>31</v>
      </c>
      <c r="E342">
        <v>15</v>
      </c>
      <c r="F342">
        <v>32.61</v>
      </c>
      <c r="G342">
        <v>0</v>
      </c>
      <c r="H342">
        <v>0</v>
      </c>
    </row>
    <row r="343" spans="1:8" x14ac:dyDescent="0.3">
      <c r="A343" t="s">
        <v>56</v>
      </c>
      <c r="B343" t="s">
        <v>90</v>
      </c>
      <c r="C343">
        <v>46</v>
      </c>
      <c r="D343">
        <v>23</v>
      </c>
      <c r="E343">
        <v>23</v>
      </c>
      <c r="F343">
        <v>50</v>
      </c>
      <c r="G343">
        <v>6</v>
      </c>
      <c r="H343">
        <v>26.09</v>
      </c>
    </row>
    <row r="344" spans="1:8" x14ac:dyDescent="0.3">
      <c r="A344" t="s">
        <v>56</v>
      </c>
      <c r="B344" t="s">
        <v>91</v>
      </c>
      <c r="C344">
        <v>46</v>
      </c>
      <c r="D344">
        <v>37</v>
      </c>
      <c r="E344">
        <v>9</v>
      </c>
      <c r="F344">
        <v>19.57</v>
      </c>
      <c r="G344">
        <v>1</v>
      </c>
      <c r="H344">
        <v>2.7</v>
      </c>
    </row>
    <row r="345" spans="1:8" x14ac:dyDescent="0.3">
      <c r="A345" t="s">
        <v>57</v>
      </c>
      <c r="B345" t="s">
        <v>85</v>
      </c>
      <c r="C345">
        <v>86</v>
      </c>
      <c r="D345">
        <v>77</v>
      </c>
      <c r="E345">
        <v>9</v>
      </c>
      <c r="F345">
        <v>10.47</v>
      </c>
      <c r="G345">
        <v>1</v>
      </c>
      <c r="H345">
        <v>1.3</v>
      </c>
    </row>
    <row r="346" spans="1:8" x14ac:dyDescent="0.3">
      <c r="A346" t="s">
        <v>57</v>
      </c>
      <c r="B346" t="s">
        <v>86</v>
      </c>
      <c r="C346">
        <v>86</v>
      </c>
      <c r="D346">
        <v>74</v>
      </c>
      <c r="E346">
        <v>12</v>
      </c>
      <c r="F346">
        <v>13.95</v>
      </c>
      <c r="G346">
        <v>6</v>
      </c>
      <c r="H346">
        <v>8.11</v>
      </c>
    </row>
    <row r="347" spans="1:8" x14ac:dyDescent="0.3">
      <c r="A347" t="s">
        <v>57</v>
      </c>
      <c r="B347" t="s">
        <v>87</v>
      </c>
      <c r="C347">
        <v>86</v>
      </c>
      <c r="D347">
        <v>75</v>
      </c>
      <c r="E347">
        <v>11</v>
      </c>
      <c r="F347">
        <v>12.79</v>
      </c>
      <c r="G347">
        <v>9</v>
      </c>
      <c r="H347">
        <v>12</v>
      </c>
    </row>
    <row r="348" spans="1:8" x14ac:dyDescent="0.3">
      <c r="A348" t="s">
        <v>57</v>
      </c>
      <c r="B348" t="s">
        <v>88</v>
      </c>
      <c r="C348">
        <v>86</v>
      </c>
      <c r="D348">
        <v>76</v>
      </c>
      <c r="E348">
        <v>10</v>
      </c>
      <c r="F348">
        <v>11.63</v>
      </c>
      <c r="G348">
        <v>22</v>
      </c>
      <c r="H348">
        <v>28.95</v>
      </c>
    </row>
    <row r="349" spans="1:8" x14ac:dyDescent="0.3">
      <c r="A349" t="s">
        <v>57</v>
      </c>
      <c r="B349" t="s">
        <v>89</v>
      </c>
      <c r="C349">
        <v>86</v>
      </c>
      <c r="D349">
        <v>78</v>
      </c>
      <c r="E349">
        <v>8</v>
      </c>
      <c r="F349">
        <v>9.3000000000000007</v>
      </c>
      <c r="G349">
        <v>28</v>
      </c>
      <c r="H349">
        <v>35.9</v>
      </c>
    </row>
    <row r="350" spans="1:8" x14ac:dyDescent="0.3">
      <c r="A350" t="s">
        <v>57</v>
      </c>
      <c r="B350" t="s">
        <v>90</v>
      </c>
      <c r="C350">
        <v>86</v>
      </c>
      <c r="D350">
        <v>64</v>
      </c>
      <c r="E350">
        <v>22</v>
      </c>
      <c r="F350">
        <v>25.58</v>
      </c>
      <c r="G350">
        <v>11</v>
      </c>
      <c r="H350">
        <v>17.190000000000001</v>
      </c>
    </row>
    <row r="351" spans="1:8" x14ac:dyDescent="0.3">
      <c r="A351" t="s">
        <v>57</v>
      </c>
      <c r="B351" t="s">
        <v>91</v>
      </c>
      <c r="C351">
        <v>86</v>
      </c>
      <c r="D351">
        <v>77</v>
      </c>
      <c r="E351">
        <v>9</v>
      </c>
      <c r="F351">
        <v>10.47</v>
      </c>
      <c r="G351">
        <v>21</v>
      </c>
      <c r="H351">
        <v>27.27</v>
      </c>
    </row>
    <row r="352" spans="1:8" x14ac:dyDescent="0.3">
      <c r="A352" t="s">
        <v>58</v>
      </c>
      <c r="B352" t="s">
        <v>85</v>
      </c>
      <c r="C352">
        <v>2</v>
      </c>
      <c r="D352">
        <v>1</v>
      </c>
      <c r="E352">
        <v>1</v>
      </c>
      <c r="F352">
        <v>50</v>
      </c>
      <c r="G352">
        <v>0</v>
      </c>
      <c r="H352">
        <v>0</v>
      </c>
    </row>
    <row r="353" spans="1:8" x14ac:dyDescent="0.3">
      <c r="A353" t="s">
        <v>58</v>
      </c>
      <c r="B353" t="s">
        <v>86</v>
      </c>
      <c r="C353">
        <v>2</v>
      </c>
      <c r="D353">
        <v>1</v>
      </c>
      <c r="E353">
        <v>1</v>
      </c>
      <c r="F353">
        <v>50</v>
      </c>
      <c r="G353">
        <v>0</v>
      </c>
      <c r="H353">
        <v>0</v>
      </c>
    </row>
    <row r="354" spans="1:8" x14ac:dyDescent="0.3">
      <c r="A354" t="s">
        <v>58</v>
      </c>
      <c r="B354" t="s">
        <v>87</v>
      </c>
      <c r="C354">
        <v>2</v>
      </c>
      <c r="D354">
        <v>2</v>
      </c>
      <c r="E354">
        <v>0</v>
      </c>
      <c r="F354">
        <v>0</v>
      </c>
      <c r="G354">
        <v>0</v>
      </c>
      <c r="H354">
        <v>0</v>
      </c>
    </row>
    <row r="355" spans="1:8" x14ac:dyDescent="0.3">
      <c r="A355" t="s">
        <v>58</v>
      </c>
      <c r="B355" t="s">
        <v>88</v>
      </c>
      <c r="C355">
        <v>2</v>
      </c>
      <c r="D355">
        <v>2</v>
      </c>
      <c r="E355">
        <v>0</v>
      </c>
      <c r="F355">
        <v>0</v>
      </c>
      <c r="G355">
        <v>2</v>
      </c>
      <c r="H355">
        <v>100</v>
      </c>
    </row>
    <row r="356" spans="1:8" x14ac:dyDescent="0.3">
      <c r="A356" t="s">
        <v>58</v>
      </c>
      <c r="B356" t="s">
        <v>89</v>
      </c>
      <c r="C356">
        <v>2</v>
      </c>
      <c r="D356">
        <v>2</v>
      </c>
      <c r="E356">
        <v>0</v>
      </c>
      <c r="F356">
        <v>0</v>
      </c>
      <c r="G356">
        <v>0</v>
      </c>
      <c r="H356">
        <v>0</v>
      </c>
    </row>
    <row r="357" spans="1:8" x14ac:dyDescent="0.3">
      <c r="A357" t="s">
        <v>58</v>
      </c>
      <c r="B357" t="s">
        <v>90</v>
      </c>
      <c r="C357">
        <v>2</v>
      </c>
      <c r="D357">
        <v>2</v>
      </c>
      <c r="E357">
        <v>0</v>
      </c>
      <c r="F357">
        <v>0</v>
      </c>
      <c r="G357">
        <v>0</v>
      </c>
      <c r="H357">
        <v>0</v>
      </c>
    </row>
    <row r="358" spans="1:8" x14ac:dyDescent="0.3">
      <c r="A358" t="s">
        <v>58</v>
      </c>
      <c r="B358" t="s">
        <v>91</v>
      </c>
      <c r="C358">
        <v>2</v>
      </c>
      <c r="D358">
        <v>0</v>
      </c>
      <c r="E358">
        <v>2</v>
      </c>
      <c r="F358">
        <v>100</v>
      </c>
      <c r="G358">
        <v>0</v>
      </c>
    </row>
    <row r="359" spans="1:8" x14ac:dyDescent="0.3">
      <c r="A359" t="s">
        <v>59</v>
      </c>
      <c r="B359" t="s">
        <v>85</v>
      </c>
      <c r="C359">
        <v>14</v>
      </c>
      <c r="D359">
        <v>6</v>
      </c>
      <c r="E359">
        <v>8</v>
      </c>
      <c r="F359">
        <v>57.14</v>
      </c>
      <c r="G359">
        <v>0</v>
      </c>
      <c r="H359">
        <v>0</v>
      </c>
    </row>
    <row r="360" spans="1:8" x14ac:dyDescent="0.3">
      <c r="A360" t="s">
        <v>59</v>
      </c>
      <c r="B360" t="s">
        <v>86</v>
      </c>
      <c r="C360">
        <v>14</v>
      </c>
      <c r="D360">
        <v>6</v>
      </c>
      <c r="E360">
        <v>8</v>
      </c>
      <c r="F360">
        <v>57.14</v>
      </c>
      <c r="G360">
        <v>0</v>
      </c>
      <c r="H360">
        <v>0</v>
      </c>
    </row>
    <row r="361" spans="1:8" x14ac:dyDescent="0.3">
      <c r="A361" t="s">
        <v>59</v>
      </c>
      <c r="B361" t="s">
        <v>87</v>
      </c>
      <c r="C361">
        <v>14</v>
      </c>
      <c r="D361">
        <v>13</v>
      </c>
      <c r="E361">
        <v>1</v>
      </c>
      <c r="F361">
        <v>7.14</v>
      </c>
      <c r="G361">
        <v>1</v>
      </c>
      <c r="H361">
        <v>7.69</v>
      </c>
    </row>
    <row r="362" spans="1:8" x14ac:dyDescent="0.3">
      <c r="A362" t="s">
        <v>59</v>
      </c>
      <c r="B362" t="s">
        <v>88</v>
      </c>
      <c r="C362">
        <v>14</v>
      </c>
      <c r="D362">
        <v>12</v>
      </c>
      <c r="E362">
        <v>2</v>
      </c>
      <c r="F362">
        <v>14.29</v>
      </c>
      <c r="G362">
        <v>2</v>
      </c>
      <c r="H362">
        <v>16.670000000000002</v>
      </c>
    </row>
    <row r="363" spans="1:8" x14ac:dyDescent="0.3">
      <c r="A363" t="s">
        <v>59</v>
      </c>
      <c r="B363" t="s">
        <v>89</v>
      </c>
      <c r="C363">
        <v>14</v>
      </c>
      <c r="D363">
        <v>13</v>
      </c>
      <c r="E363">
        <v>1</v>
      </c>
      <c r="F363">
        <v>7.14</v>
      </c>
      <c r="G363">
        <v>4</v>
      </c>
      <c r="H363">
        <v>30.77</v>
      </c>
    </row>
    <row r="364" spans="1:8" x14ac:dyDescent="0.3">
      <c r="A364" t="s">
        <v>59</v>
      </c>
      <c r="B364" t="s">
        <v>90</v>
      </c>
      <c r="C364">
        <v>14</v>
      </c>
      <c r="D364">
        <v>6</v>
      </c>
      <c r="E364">
        <v>8</v>
      </c>
      <c r="F364">
        <v>57.14</v>
      </c>
      <c r="G364">
        <v>0</v>
      </c>
      <c r="H364">
        <v>0</v>
      </c>
    </row>
    <row r="365" spans="1:8" x14ac:dyDescent="0.3">
      <c r="A365" t="s">
        <v>59</v>
      </c>
      <c r="B365" t="s">
        <v>91</v>
      </c>
      <c r="C365">
        <v>14</v>
      </c>
      <c r="D365">
        <v>6</v>
      </c>
      <c r="E365">
        <v>8</v>
      </c>
      <c r="F365">
        <v>57.14</v>
      </c>
      <c r="G365">
        <v>3</v>
      </c>
      <c r="H365">
        <v>50</v>
      </c>
    </row>
    <row r="366" spans="1:8" x14ac:dyDescent="0.3">
      <c r="A366" t="s">
        <v>60</v>
      </c>
      <c r="B366" t="s">
        <v>85</v>
      </c>
      <c r="C366">
        <v>91</v>
      </c>
      <c r="D366">
        <v>62</v>
      </c>
      <c r="E366">
        <v>29</v>
      </c>
      <c r="F366">
        <v>31.87</v>
      </c>
      <c r="G366">
        <v>4</v>
      </c>
      <c r="H366">
        <v>6.45</v>
      </c>
    </row>
    <row r="367" spans="1:8" x14ac:dyDescent="0.3">
      <c r="A367" t="s">
        <v>60</v>
      </c>
      <c r="B367" t="s">
        <v>86</v>
      </c>
      <c r="C367">
        <v>91</v>
      </c>
      <c r="D367">
        <v>55</v>
      </c>
      <c r="E367">
        <v>36</v>
      </c>
      <c r="F367">
        <v>39.56</v>
      </c>
      <c r="G367">
        <v>1</v>
      </c>
      <c r="H367">
        <v>1.82</v>
      </c>
    </row>
    <row r="368" spans="1:8" x14ac:dyDescent="0.3">
      <c r="A368" t="s">
        <v>60</v>
      </c>
      <c r="B368" t="s">
        <v>87</v>
      </c>
      <c r="C368">
        <v>91</v>
      </c>
      <c r="D368">
        <v>63</v>
      </c>
      <c r="E368">
        <v>28</v>
      </c>
      <c r="F368">
        <v>30.77</v>
      </c>
      <c r="G368">
        <v>14</v>
      </c>
      <c r="H368">
        <v>22.22</v>
      </c>
    </row>
    <row r="369" spans="1:8" x14ac:dyDescent="0.3">
      <c r="A369" t="s">
        <v>60</v>
      </c>
      <c r="B369" t="s">
        <v>88</v>
      </c>
      <c r="C369">
        <v>91</v>
      </c>
      <c r="D369">
        <v>62</v>
      </c>
      <c r="E369">
        <v>29</v>
      </c>
      <c r="F369">
        <v>31.87</v>
      </c>
      <c r="G369">
        <v>20</v>
      </c>
      <c r="H369">
        <v>32.26</v>
      </c>
    </row>
    <row r="370" spans="1:8" x14ac:dyDescent="0.3">
      <c r="A370" t="s">
        <v>60</v>
      </c>
      <c r="B370" t="s">
        <v>89</v>
      </c>
      <c r="C370">
        <v>91</v>
      </c>
      <c r="D370">
        <v>71</v>
      </c>
      <c r="E370">
        <v>20</v>
      </c>
      <c r="F370">
        <v>21.98</v>
      </c>
      <c r="G370">
        <v>4</v>
      </c>
      <c r="H370">
        <v>5.63</v>
      </c>
    </row>
    <row r="371" spans="1:8" x14ac:dyDescent="0.3">
      <c r="A371" t="s">
        <v>60</v>
      </c>
      <c r="B371" t="s">
        <v>90</v>
      </c>
      <c r="C371">
        <v>91</v>
      </c>
      <c r="D371">
        <v>46</v>
      </c>
      <c r="E371">
        <v>45</v>
      </c>
      <c r="F371">
        <v>49.45</v>
      </c>
      <c r="G371">
        <v>19</v>
      </c>
      <c r="H371">
        <v>41.3</v>
      </c>
    </row>
    <row r="372" spans="1:8" x14ac:dyDescent="0.3">
      <c r="A372" t="s">
        <v>60</v>
      </c>
      <c r="B372" t="s">
        <v>91</v>
      </c>
      <c r="C372">
        <v>91</v>
      </c>
      <c r="D372">
        <v>66</v>
      </c>
      <c r="E372">
        <v>25</v>
      </c>
      <c r="F372">
        <v>27.47</v>
      </c>
      <c r="G372">
        <v>17</v>
      </c>
      <c r="H372">
        <v>25.76</v>
      </c>
    </row>
    <row r="373" spans="1:8" x14ac:dyDescent="0.3">
      <c r="A373" t="s">
        <v>61</v>
      </c>
      <c r="B373" t="s">
        <v>85</v>
      </c>
      <c r="C373">
        <v>126</v>
      </c>
      <c r="D373">
        <v>108</v>
      </c>
      <c r="E373">
        <v>18</v>
      </c>
      <c r="F373">
        <v>14.29</v>
      </c>
      <c r="G373">
        <v>1</v>
      </c>
      <c r="H373">
        <v>0.93</v>
      </c>
    </row>
    <row r="374" spans="1:8" x14ac:dyDescent="0.3">
      <c r="A374" t="s">
        <v>61</v>
      </c>
      <c r="B374" t="s">
        <v>86</v>
      </c>
      <c r="C374">
        <v>126</v>
      </c>
      <c r="D374">
        <v>71</v>
      </c>
      <c r="E374">
        <v>55</v>
      </c>
      <c r="F374">
        <v>43.65</v>
      </c>
      <c r="G374">
        <v>1</v>
      </c>
      <c r="H374">
        <v>1.41</v>
      </c>
    </row>
    <row r="375" spans="1:8" x14ac:dyDescent="0.3">
      <c r="A375" t="s">
        <v>61</v>
      </c>
      <c r="B375" t="s">
        <v>87</v>
      </c>
      <c r="C375">
        <v>126</v>
      </c>
      <c r="D375">
        <v>99</v>
      </c>
      <c r="E375">
        <v>27</v>
      </c>
      <c r="F375">
        <v>21.43</v>
      </c>
      <c r="G375">
        <v>8</v>
      </c>
      <c r="H375">
        <v>8.08</v>
      </c>
    </row>
    <row r="376" spans="1:8" x14ac:dyDescent="0.3">
      <c r="A376" t="s">
        <v>61</v>
      </c>
      <c r="B376" t="s">
        <v>88</v>
      </c>
      <c r="C376">
        <v>126</v>
      </c>
      <c r="D376">
        <v>100</v>
      </c>
      <c r="E376">
        <v>26</v>
      </c>
      <c r="F376">
        <v>20.63</v>
      </c>
      <c r="G376">
        <v>3</v>
      </c>
      <c r="H376">
        <v>3</v>
      </c>
    </row>
    <row r="377" spans="1:8" x14ac:dyDescent="0.3">
      <c r="A377" t="s">
        <v>61</v>
      </c>
      <c r="B377" t="s">
        <v>89</v>
      </c>
      <c r="C377">
        <v>126</v>
      </c>
      <c r="D377">
        <v>112</v>
      </c>
      <c r="E377">
        <v>14</v>
      </c>
      <c r="F377">
        <v>11.11</v>
      </c>
      <c r="G377">
        <v>2</v>
      </c>
      <c r="H377">
        <v>1.79</v>
      </c>
    </row>
    <row r="378" spans="1:8" x14ac:dyDescent="0.3">
      <c r="A378" t="s">
        <v>61</v>
      </c>
      <c r="B378" t="s">
        <v>90</v>
      </c>
      <c r="C378">
        <v>126</v>
      </c>
      <c r="D378">
        <v>60</v>
      </c>
      <c r="E378">
        <v>66</v>
      </c>
      <c r="F378">
        <v>52.38</v>
      </c>
      <c r="G378">
        <v>12</v>
      </c>
      <c r="H378">
        <v>20</v>
      </c>
    </row>
    <row r="379" spans="1:8" x14ac:dyDescent="0.3">
      <c r="A379" t="s">
        <v>61</v>
      </c>
      <c r="B379" t="s">
        <v>91</v>
      </c>
      <c r="C379">
        <v>126</v>
      </c>
      <c r="D379">
        <v>103</v>
      </c>
      <c r="E379">
        <v>23</v>
      </c>
      <c r="F379">
        <v>18.25</v>
      </c>
      <c r="G379">
        <v>0</v>
      </c>
      <c r="H379">
        <v>0</v>
      </c>
    </row>
    <row r="380" spans="1:8" x14ac:dyDescent="0.3">
      <c r="A380" t="s">
        <v>62</v>
      </c>
      <c r="B380" t="s">
        <v>85</v>
      </c>
      <c r="C380">
        <v>49</v>
      </c>
      <c r="D380">
        <v>38</v>
      </c>
      <c r="E380">
        <v>11</v>
      </c>
      <c r="F380">
        <v>22.45</v>
      </c>
      <c r="G380">
        <v>5</v>
      </c>
      <c r="H380">
        <v>13.16</v>
      </c>
    </row>
    <row r="381" spans="1:8" x14ac:dyDescent="0.3">
      <c r="A381" t="s">
        <v>62</v>
      </c>
      <c r="B381" t="s">
        <v>86</v>
      </c>
      <c r="C381">
        <v>49</v>
      </c>
      <c r="D381">
        <v>32</v>
      </c>
      <c r="E381">
        <v>17</v>
      </c>
      <c r="F381">
        <v>34.69</v>
      </c>
      <c r="G381">
        <v>9</v>
      </c>
      <c r="H381">
        <v>28.13</v>
      </c>
    </row>
    <row r="382" spans="1:8" x14ac:dyDescent="0.3">
      <c r="A382" t="s">
        <v>62</v>
      </c>
      <c r="B382" t="s">
        <v>87</v>
      </c>
      <c r="C382">
        <v>49</v>
      </c>
      <c r="D382">
        <v>40</v>
      </c>
      <c r="E382">
        <v>9</v>
      </c>
      <c r="F382">
        <v>18.37</v>
      </c>
      <c r="G382">
        <v>3</v>
      </c>
      <c r="H382">
        <v>7.5</v>
      </c>
    </row>
    <row r="383" spans="1:8" x14ac:dyDescent="0.3">
      <c r="A383" t="s">
        <v>62</v>
      </c>
      <c r="B383" t="s">
        <v>88</v>
      </c>
      <c r="C383">
        <v>49</v>
      </c>
      <c r="D383">
        <v>33</v>
      </c>
      <c r="E383">
        <v>16</v>
      </c>
      <c r="F383">
        <v>32.65</v>
      </c>
      <c r="G383">
        <v>14</v>
      </c>
      <c r="H383">
        <v>42.42</v>
      </c>
    </row>
    <row r="384" spans="1:8" x14ac:dyDescent="0.3">
      <c r="A384" t="s">
        <v>62</v>
      </c>
      <c r="B384" t="s">
        <v>89</v>
      </c>
      <c r="C384">
        <v>49</v>
      </c>
      <c r="D384">
        <v>46</v>
      </c>
      <c r="E384">
        <v>3</v>
      </c>
      <c r="F384">
        <v>6.12</v>
      </c>
      <c r="G384">
        <v>14</v>
      </c>
      <c r="H384">
        <v>30.43</v>
      </c>
    </row>
    <row r="385" spans="1:8" x14ac:dyDescent="0.3">
      <c r="A385" t="s">
        <v>62</v>
      </c>
      <c r="B385" t="s">
        <v>90</v>
      </c>
      <c r="C385">
        <v>49</v>
      </c>
      <c r="D385">
        <v>23</v>
      </c>
      <c r="E385">
        <v>26</v>
      </c>
      <c r="F385">
        <v>53.06</v>
      </c>
      <c r="G385">
        <v>6</v>
      </c>
      <c r="H385">
        <v>26.09</v>
      </c>
    </row>
    <row r="386" spans="1:8" x14ac:dyDescent="0.3">
      <c r="A386" t="s">
        <v>62</v>
      </c>
      <c r="B386" t="s">
        <v>91</v>
      </c>
      <c r="C386">
        <v>49</v>
      </c>
      <c r="D386">
        <v>38</v>
      </c>
      <c r="E386">
        <v>11</v>
      </c>
      <c r="F386">
        <v>22.45</v>
      </c>
      <c r="G386">
        <v>7</v>
      </c>
      <c r="H386">
        <v>18.420000000000002</v>
      </c>
    </row>
    <row r="387" spans="1:8" x14ac:dyDescent="0.3">
      <c r="A387" t="s">
        <v>63</v>
      </c>
      <c r="B387" t="s">
        <v>85</v>
      </c>
      <c r="C387">
        <v>28</v>
      </c>
      <c r="D387">
        <v>16</v>
      </c>
      <c r="E387">
        <v>12</v>
      </c>
      <c r="F387">
        <v>42.86</v>
      </c>
      <c r="G387">
        <v>1</v>
      </c>
      <c r="H387">
        <v>6.25</v>
      </c>
    </row>
    <row r="388" spans="1:8" x14ac:dyDescent="0.3">
      <c r="A388" t="s">
        <v>63</v>
      </c>
      <c r="B388" t="s">
        <v>86</v>
      </c>
      <c r="C388">
        <v>28</v>
      </c>
      <c r="D388">
        <v>9</v>
      </c>
      <c r="E388">
        <v>19</v>
      </c>
      <c r="F388">
        <v>67.86</v>
      </c>
      <c r="G388">
        <v>2</v>
      </c>
      <c r="H388">
        <v>22.22</v>
      </c>
    </row>
    <row r="389" spans="1:8" x14ac:dyDescent="0.3">
      <c r="A389" t="s">
        <v>63</v>
      </c>
      <c r="B389" t="s">
        <v>87</v>
      </c>
      <c r="C389">
        <v>28</v>
      </c>
      <c r="D389">
        <v>15</v>
      </c>
      <c r="E389">
        <v>13</v>
      </c>
      <c r="F389">
        <v>46.43</v>
      </c>
      <c r="G389">
        <v>1</v>
      </c>
      <c r="H389">
        <v>6.67</v>
      </c>
    </row>
    <row r="390" spans="1:8" x14ac:dyDescent="0.3">
      <c r="A390" t="s">
        <v>63</v>
      </c>
      <c r="B390" t="s">
        <v>88</v>
      </c>
      <c r="C390">
        <v>28</v>
      </c>
      <c r="D390">
        <v>13</v>
      </c>
      <c r="E390">
        <v>15</v>
      </c>
      <c r="F390">
        <v>53.57</v>
      </c>
      <c r="G390">
        <v>5</v>
      </c>
      <c r="H390">
        <v>38.46</v>
      </c>
    </row>
    <row r="391" spans="1:8" x14ac:dyDescent="0.3">
      <c r="A391" t="s">
        <v>63</v>
      </c>
      <c r="B391" t="s">
        <v>89</v>
      </c>
      <c r="C391">
        <v>28</v>
      </c>
      <c r="D391">
        <v>19</v>
      </c>
      <c r="E391">
        <v>9</v>
      </c>
      <c r="F391">
        <v>32.14</v>
      </c>
      <c r="G391">
        <v>1</v>
      </c>
      <c r="H391">
        <v>5.26</v>
      </c>
    </row>
    <row r="392" spans="1:8" x14ac:dyDescent="0.3">
      <c r="A392" t="s">
        <v>63</v>
      </c>
      <c r="B392" t="s">
        <v>90</v>
      </c>
      <c r="C392">
        <v>28</v>
      </c>
      <c r="D392">
        <v>7</v>
      </c>
      <c r="E392">
        <v>21</v>
      </c>
      <c r="F392">
        <v>75</v>
      </c>
      <c r="G392">
        <v>0</v>
      </c>
      <c r="H392">
        <v>0</v>
      </c>
    </row>
    <row r="393" spans="1:8" x14ac:dyDescent="0.3">
      <c r="A393" t="s">
        <v>63</v>
      </c>
      <c r="B393" t="s">
        <v>91</v>
      </c>
      <c r="C393">
        <v>28</v>
      </c>
      <c r="D393">
        <v>15</v>
      </c>
      <c r="E393">
        <v>13</v>
      </c>
      <c r="F393">
        <v>46.43</v>
      </c>
      <c r="G393">
        <v>1</v>
      </c>
      <c r="H393">
        <v>6.67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EBB51-B2EB-4763-802F-0EF917FCA593}">
  <dimension ref="A1:H11"/>
  <sheetViews>
    <sheetView workbookViewId="0">
      <selection sqref="A1:B11"/>
    </sheetView>
  </sheetViews>
  <sheetFormatPr defaultRowHeight="14.4" x14ac:dyDescent="0.3"/>
  <cols>
    <col min="1" max="1" width="37.77734375" bestFit="1" customWidth="1"/>
    <col min="2" max="2" width="16.21875" bestFit="1" customWidth="1"/>
    <col min="3" max="3" width="16.77734375" bestFit="1" customWidth="1"/>
    <col min="4" max="4" width="22.109375" bestFit="1" customWidth="1"/>
    <col min="5" max="5" width="24.109375" bestFit="1" customWidth="1"/>
    <col min="6" max="6" width="16.88671875" bestFit="1" customWidth="1"/>
    <col min="7" max="7" width="19.6640625" bestFit="1" customWidth="1"/>
    <col min="8" max="8" width="11.88671875" bestFit="1" customWidth="1"/>
  </cols>
  <sheetData>
    <row r="1" spans="1:8" x14ac:dyDescent="0.3">
      <c r="A1" t="s">
        <v>64</v>
      </c>
      <c r="B1" t="s">
        <v>1</v>
      </c>
      <c r="C1" t="s">
        <v>2</v>
      </c>
      <c r="D1" t="s">
        <v>3</v>
      </c>
      <c r="E1" t="s">
        <v>4</v>
      </c>
      <c r="F1" t="s">
        <v>5</v>
      </c>
      <c r="G1" t="s">
        <v>6</v>
      </c>
      <c r="H1" t="s">
        <v>7</v>
      </c>
    </row>
    <row r="2" spans="1:8" x14ac:dyDescent="0.3">
      <c r="A2" t="s">
        <v>74</v>
      </c>
      <c r="B2">
        <v>2052</v>
      </c>
      <c r="C2">
        <v>1605</v>
      </c>
      <c r="D2">
        <v>1946</v>
      </c>
      <c r="E2">
        <v>94.83</v>
      </c>
      <c r="F2">
        <v>447</v>
      </c>
      <c r="G2">
        <v>21.78</v>
      </c>
      <c r="H2">
        <v>3.13</v>
      </c>
    </row>
    <row r="3" spans="1:8" x14ac:dyDescent="0.3">
      <c r="A3" t="s">
        <v>70</v>
      </c>
      <c r="B3">
        <v>800</v>
      </c>
      <c r="C3">
        <v>617</v>
      </c>
      <c r="D3">
        <v>711</v>
      </c>
      <c r="E3">
        <v>88.88</v>
      </c>
      <c r="F3">
        <v>183</v>
      </c>
      <c r="G3">
        <v>22.88</v>
      </c>
      <c r="H3">
        <v>2.83</v>
      </c>
    </row>
    <row r="4" spans="1:8" x14ac:dyDescent="0.3">
      <c r="A4" t="s">
        <v>66</v>
      </c>
      <c r="B4">
        <v>561</v>
      </c>
      <c r="C4">
        <v>337</v>
      </c>
      <c r="D4">
        <v>548</v>
      </c>
      <c r="E4">
        <v>97.68</v>
      </c>
      <c r="F4">
        <v>224</v>
      </c>
      <c r="G4">
        <v>39.93</v>
      </c>
      <c r="H4">
        <v>3.02</v>
      </c>
    </row>
    <row r="5" spans="1:8" x14ac:dyDescent="0.3">
      <c r="A5" t="s">
        <v>73</v>
      </c>
      <c r="B5">
        <v>462</v>
      </c>
      <c r="C5">
        <v>373</v>
      </c>
      <c r="D5">
        <v>437</v>
      </c>
      <c r="E5">
        <v>94.59</v>
      </c>
      <c r="F5">
        <v>89</v>
      </c>
      <c r="G5">
        <v>19.260000000000002</v>
      </c>
      <c r="H5">
        <v>3.15</v>
      </c>
    </row>
    <row r="6" spans="1:8" x14ac:dyDescent="0.3">
      <c r="A6" t="s">
        <v>67</v>
      </c>
      <c r="B6">
        <v>407</v>
      </c>
      <c r="C6">
        <v>243</v>
      </c>
      <c r="D6">
        <v>389</v>
      </c>
      <c r="E6">
        <v>95.58</v>
      </c>
      <c r="F6">
        <v>164</v>
      </c>
      <c r="G6">
        <v>40.29</v>
      </c>
      <c r="H6">
        <v>2.95</v>
      </c>
    </row>
    <row r="7" spans="1:8" x14ac:dyDescent="0.3">
      <c r="A7" t="s">
        <v>72</v>
      </c>
      <c r="B7">
        <v>343</v>
      </c>
      <c r="C7">
        <v>309</v>
      </c>
      <c r="D7">
        <v>327</v>
      </c>
      <c r="E7">
        <v>95.34</v>
      </c>
      <c r="F7">
        <v>34</v>
      </c>
      <c r="G7">
        <v>9.91</v>
      </c>
      <c r="H7">
        <v>3.18</v>
      </c>
    </row>
    <row r="8" spans="1:8" x14ac:dyDescent="0.3">
      <c r="A8" t="s">
        <v>69</v>
      </c>
      <c r="B8">
        <v>68</v>
      </c>
      <c r="C8">
        <v>20</v>
      </c>
      <c r="D8">
        <v>37</v>
      </c>
      <c r="E8">
        <v>54.41</v>
      </c>
      <c r="F8">
        <v>48</v>
      </c>
      <c r="G8">
        <v>70.59</v>
      </c>
      <c r="H8">
        <v>3.75</v>
      </c>
    </row>
    <row r="9" spans="1:8" x14ac:dyDescent="0.3">
      <c r="A9" t="s">
        <v>68</v>
      </c>
      <c r="B9">
        <v>65</v>
      </c>
      <c r="C9">
        <v>45</v>
      </c>
      <c r="D9">
        <v>58</v>
      </c>
      <c r="E9">
        <v>89.23</v>
      </c>
      <c r="F9">
        <v>20</v>
      </c>
      <c r="G9">
        <v>30.77</v>
      </c>
      <c r="H9">
        <v>2.6</v>
      </c>
    </row>
    <row r="10" spans="1:8" x14ac:dyDescent="0.3">
      <c r="A10" t="s">
        <v>65</v>
      </c>
      <c r="B10">
        <v>45</v>
      </c>
      <c r="C10">
        <v>16</v>
      </c>
      <c r="D10">
        <v>36</v>
      </c>
      <c r="E10">
        <v>80</v>
      </c>
      <c r="F10">
        <v>29</v>
      </c>
      <c r="G10">
        <v>64.44</v>
      </c>
      <c r="H10">
        <v>2.94</v>
      </c>
    </row>
    <row r="11" spans="1:8" x14ac:dyDescent="0.3">
      <c r="A11" t="s">
        <v>71</v>
      </c>
      <c r="B11">
        <v>9</v>
      </c>
      <c r="C11">
        <v>2</v>
      </c>
      <c r="D11">
        <v>8</v>
      </c>
      <c r="E11">
        <v>88.89</v>
      </c>
      <c r="F11">
        <v>7</v>
      </c>
      <c r="G11">
        <v>77.78</v>
      </c>
      <c r="H11">
        <v>2.5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A3ABD-7859-41B6-AFC8-F9FBA59F6E8A}">
  <dimension ref="A1:G11"/>
  <sheetViews>
    <sheetView zoomScale="85" zoomScaleNormal="85" workbookViewId="0">
      <selection activeCell="G2" activeCellId="1" sqref="G1 G2:G11"/>
    </sheetView>
  </sheetViews>
  <sheetFormatPr defaultRowHeight="14.4" x14ac:dyDescent="0.3"/>
  <cols>
    <col min="1" max="1" width="35.109375" bestFit="1" customWidth="1"/>
    <col min="2" max="2" width="15.6640625" bestFit="1" customWidth="1"/>
    <col min="3" max="3" width="16.21875" bestFit="1" customWidth="1"/>
    <col min="4" max="4" width="11.5546875" bestFit="1" customWidth="1"/>
    <col min="5" max="5" width="20" bestFit="1" customWidth="1"/>
    <col min="6" max="6" width="15.77734375" bestFit="1" customWidth="1"/>
    <col min="7" max="7" width="28.88671875" bestFit="1" customWidth="1"/>
  </cols>
  <sheetData>
    <row r="1" spans="1:7" x14ac:dyDescent="0.3">
      <c r="A1" t="s">
        <v>64</v>
      </c>
      <c r="B1" t="s">
        <v>1</v>
      </c>
      <c r="C1" t="s">
        <v>2</v>
      </c>
      <c r="D1" t="s">
        <v>7</v>
      </c>
      <c r="E1" t="s">
        <v>75</v>
      </c>
      <c r="F1" t="s">
        <v>76</v>
      </c>
      <c r="G1" t="s">
        <v>77</v>
      </c>
    </row>
    <row r="2" spans="1:7" x14ac:dyDescent="0.3">
      <c r="A2" t="s">
        <v>65</v>
      </c>
      <c r="B2">
        <v>45</v>
      </c>
      <c r="C2">
        <v>16</v>
      </c>
      <c r="D2">
        <v>2.94</v>
      </c>
      <c r="E2">
        <v>35.56</v>
      </c>
      <c r="F2">
        <v>0.44400000000000001</v>
      </c>
      <c r="G2">
        <v>1.31</v>
      </c>
    </row>
    <row r="3" spans="1:7" x14ac:dyDescent="0.3">
      <c r="A3" t="s">
        <v>66</v>
      </c>
      <c r="B3">
        <v>561</v>
      </c>
      <c r="C3">
        <v>337</v>
      </c>
      <c r="D3">
        <v>3.02</v>
      </c>
      <c r="E3">
        <v>60.07</v>
      </c>
      <c r="F3">
        <v>0.94399999999999995</v>
      </c>
      <c r="G3">
        <v>2.85</v>
      </c>
    </row>
    <row r="4" spans="1:7" x14ac:dyDescent="0.3">
      <c r="A4" t="s">
        <v>67</v>
      </c>
      <c r="B4">
        <v>407</v>
      </c>
      <c r="C4">
        <v>243</v>
      </c>
      <c r="D4">
        <v>2.95</v>
      </c>
      <c r="E4">
        <v>59.71</v>
      </c>
      <c r="F4">
        <v>0.92400000000000004</v>
      </c>
      <c r="G4">
        <v>2.73</v>
      </c>
    </row>
    <row r="5" spans="1:7" x14ac:dyDescent="0.3">
      <c r="A5" t="s">
        <v>68</v>
      </c>
      <c r="B5">
        <v>65</v>
      </c>
      <c r="C5">
        <v>45</v>
      </c>
      <c r="D5">
        <v>2.6</v>
      </c>
      <c r="E5">
        <v>69.23</v>
      </c>
      <c r="F5">
        <v>0.69199999999999995</v>
      </c>
      <c r="G5">
        <v>1.8</v>
      </c>
    </row>
    <row r="6" spans="1:7" x14ac:dyDescent="0.3">
      <c r="A6" t="s">
        <v>69</v>
      </c>
      <c r="B6">
        <v>68</v>
      </c>
      <c r="C6">
        <v>20</v>
      </c>
      <c r="D6">
        <v>3.75</v>
      </c>
      <c r="E6">
        <v>29.41</v>
      </c>
      <c r="F6">
        <v>0.5</v>
      </c>
      <c r="G6">
        <v>1.88</v>
      </c>
    </row>
    <row r="7" spans="1:7" x14ac:dyDescent="0.3">
      <c r="A7" t="s">
        <v>70</v>
      </c>
      <c r="B7">
        <v>800</v>
      </c>
      <c r="C7">
        <v>617</v>
      </c>
      <c r="D7">
        <v>2.83</v>
      </c>
      <c r="E7">
        <v>77.13</v>
      </c>
      <c r="F7">
        <v>0.96899999999999997</v>
      </c>
      <c r="G7">
        <v>2.74</v>
      </c>
    </row>
    <row r="8" spans="1:7" x14ac:dyDescent="0.3">
      <c r="A8" t="s">
        <v>71</v>
      </c>
      <c r="B8">
        <v>9</v>
      </c>
      <c r="C8">
        <v>2</v>
      </c>
      <c r="D8">
        <v>2.5</v>
      </c>
      <c r="E8">
        <v>22.22</v>
      </c>
      <c r="F8">
        <v>9.0999999999999998E-2</v>
      </c>
      <c r="G8">
        <v>0.23</v>
      </c>
    </row>
    <row r="9" spans="1:7" x14ac:dyDescent="0.3">
      <c r="A9" t="s">
        <v>72</v>
      </c>
      <c r="B9">
        <v>343</v>
      </c>
      <c r="C9">
        <v>309</v>
      </c>
      <c r="D9">
        <v>3.18</v>
      </c>
      <c r="E9">
        <v>90.09</v>
      </c>
      <c r="F9">
        <v>0.93899999999999995</v>
      </c>
      <c r="G9">
        <v>2.99</v>
      </c>
    </row>
    <row r="10" spans="1:7" x14ac:dyDescent="0.3">
      <c r="A10" t="s">
        <v>73</v>
      </c>
      <c r="B10">
        <v>462</v>
      </c>
      <c r="C10">
        <v>373</v>
      </c>
      <c r="D10">
        <v>3.15</v>
      </c>
      <c r="E10">
        <v>80.739999999999995</v>
      </c>
      <c r="F10">
        <v>0.94899999999999995</v>
      </c>
      <c r="G10">
        <v>2.99</v>
      </c>
    </row>
    <row r="11" spans="1:7" x14ac:dyDescent="0.3">
      <c r="A11" t="s">
        <v>74</v>
      </c>
      <c r="B11">
        <v>2052</v>
      </c>
      <c r="C11">
        <v>1605</v>
      </c>
      <c r="D11">
        <v>3.13</v>
      </c>
      <c r="E11">
        <v>78.22</v>
      </c>
      <c r="F11">
        <v>0.98799999999999999</v>
      </c>
      <c r="G11">
        <v>3.09</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E4A05-8CB6-45EA-A9F7-52FF03E8DD09}">
  <dimension ref="A1:H71"/>
  <sheetViews>
    <sheetView topLeftCell="A2" workbookViewId="0">
      <selection activeCell="B8" sqref="B8"/>
    </sheetView>
  </sheetViews>
  <sheetFormatPr defaultRowHeight="14.4" x14ac:dyDescent="0.3"/>
  <cols>
    <col min="1" max="1" width="35.109375" bestFit="1" customWidth="1"/>
    <col min="2" max="2" width="26.5546875" bestFit="1" customWidth="1"/>
    <col min="3" max="3" width="28.33203125" bestFit="1" customWidth="1"/>
    <col min="4" max="4" width="19" bestFit="1" customWidth="1"/>
    <col min="5" max="5" width="16.88671875" bestFit="1" customWidth="1"/>
    <col min="6" max="6" width="13.21875" bestFit="1" customWidth="1"/>
    <col min="7" max="7" width="22.77734375" bestFit="1" customWidth="1"/>
    <col min="8" max="8" width="19.109375" bestFit="1" customWidth="1"/>
  </cols>
  <sheetData>
    <row r="1" spans="1:8" x14ac:dyDescent="0.3">
      <c r="A1" t="s">
        <v>64</v>
      </c>
      <c r="B1" t="s">
        <v>78</v>
      </c>
      <c r="C1" t="s">
        <v>79</v>
      </c>
      <c r="D1" t="s">
        <v>80</v>
      </c>
      <c r="E1" t="s">
        <v>81</v>
      </c>
      <c r="F1" t="s">
        <v>82</v>
      </c>
      <c r="G1" t="s">
        <v>83</v>
      </c>
      <c r="H1" t="s">
        <v>84</v>
      </c>
    </row>
    <row r="2" spans="1:8" x14ac:dyDescent="0.3">
      <c r="A2" t="s">
        <v>65</v>
      </c>
      <c r="B2" t="s">
        <v>85</v>
      </c>
      <c r="C2">
        <v>45</v>
      </c>
      <c r="D2">
        <v>26</v>
      </c>
      <c r="E2">
        <v>19</v>
      </c>
      <c r="F2">
        <v>42.22</v>
      </c>
      <c r="G2">
        <v>4</v>
      </c>
      <c r="H2">
        <v>15.38</v>
      </c>
    </row>
    <row r="3" spans="1:8" x14ac:dyDescent="0.3">
      <c r="A3" t="s">
        <v>65</v>
      </c>
      <c r="B3" t="s">
        <v>86</v>
      </c>
      <c r="C3">
        <v>45</v>
      </c>
      <c r="D3">
        <v>9</v>
      </c>
      <c r="E3">
        <v>36</v>
      </c>
      <c r="F3">
        <v>80</v>
      </c>
      <c r="G3">
        <v>0</v>
      </c>
      <c r="H3">
        <v>0</v>
      </c>
    </row>
    <row r="4" spans="1:8" x14ac:dyDescent="0.3">
      <c r="A4" t="s">
        <v>65</v>
      </c>
      <c r="B4" t="s">
        <v>87</v>
      </c>
      <c r="C4">
        <v>45</v>
      </c>
      <c r="D4">
        <v>13</v>
      </c>
      <c r="E4">
        <v>32</v>
      </c>
      <c r="F4">
        <v>71.11</v>
      </c>
      <c r="G4">
        <v>0</v>
      </c>
      <c r="H4">
        <v>0</v>
      </c>
    </row>
    <row r="5" spans="1:8" x14ac:dyDescent="0.3">
      <c r="A5" t="s">
        <v>65</v>
      </c>
      <c r="B5" t="s">
        <v>88</v>
      </c>
      <c r="C5">
        <v>45</v>
      </c>
      <c r="D5">
        <v>16</v>
      </c>
      <c r="E5">
        <v>29</v>
      </c>
      <c r="F5">
        <v>64.44</v>
      </c>
      <c r="G5">
        <v>5</v>
      </c>
      <c r="H5">
        <v>31.25</v>
      </c>
    </row>
    <row r="6" spans="1:8" x14ac:dyDescent="0.3">
      <c r="A6" t="s">
        <v>65</v>
      </c>
      <c r="B6" t="s">
        <v>89</v>
      </c>
      <c r="C6">
        <v>45</v>
      </c>
      <c r="D6">
        <v>19</v>
      </c>
      <c r="E6">
        <v>26</v>
      </c>
      <c r="F6">
        <v>57.78</v>
      </c>
      <c r="G6">
        <v>1</v>
      </c>
      <c r="H6">
        <v>5.26</v>
      </c>
    </row>
    <row r="7" spans="1:8" x14ac:dyDescent="0.3">
      <c r="A7" t="s">
        <v>65</v>
      </c>
      <c r="B7" t="s">
        <v>90</v>
      </c>
      <c r="C7">
        <v>45</v>
      </c>
      <c r="D7">
        <v>10</v>
      </c>
      <c r="E7">
        <v>35</v>
      </c>
      <c r="F7">
        <v>77.78</v>
      </c>
      <c r="G7">
        <v>2</v>
      </c>
      <c r="H7">
        <v>20</v>
      </c>
    </row>
    <row r="8" spans="1:8" x14ac:dyDescent="0.3">
      <c r="A8" t="s">
        <v>65</v>
      </c>
      <c r="B8" t="s">
        <v>91</v>
      </c>
      <c r="C8">
        <v>45</v>
      </c>
      <c r="D8">
        <v>14</v>
      </c>
      <c r="E8">
        <v>31</v>
      </c>
      <c r="F8">
        <v>68.89</v>
      </c>
      <c r="G8">
        <v>3</v>
      </c>
      <c r="H8">
        <v>21.43</v>
      </c>
    </row>
    <row r="9" spans="1:8" x14ac:dyDescent="0.3">
      <c r="A9" t="s">
        <v>66</v>
      </c>
      <c r="B9" t="s">
        <v>85</v>
      </c>
      <c r="C9">
        <v>561</v>
      </c>
      <c r="D9">
        <v>344</v>
      </c>
      <c r="E9">
        <v>217</v>
      </c>
      <c r="F9">
        <v>38.68</v>
      </c>
      <c r="G9">
        <v>37</v>
      </c>
      <c r="H9">
        <v>10.76</v>
      </c>
    </row>
    <row r="10" spans="1:8" x14ac:dyDescent="0.3">
      <c r="A10" t="s">
        <v>66</v>
      </c>
      <c r="B10" t="s">
        <v>86</v>
      </c>
      <c r="C10">
        <v>561</v>
      </c>
      <c r="D10">
        <v>225</v>
      </c>
      <c r="E10">
        <v>336</v>
      </c>
      <c r="F10">
        <v>59.89</v>
      </c>
      <c r="G10">
        <v>51</v>
      </c>
      <c r="H10">
        <v>22.67</v>
      </c>
    </row>
    <row r="11" spans="1:8" x14ac:dyDescent="0.3">
      <c r="A11" t="s">
        <v>66</v>
      </c>
      <c r="B11" t="s">
        <v>87</v>
      </c>
      <c r="C11">
        <v>561</v>
      </c>
      <c r="D11">
        <v>330</v>
      </c>
      <c r="E11">
        <v>231</v>
      </c>
      <c r="F11">
        <v>41.18</v>
      </c>
      <c r="G11">
        <v>40</v>
      </c>
      <c r="H11">
        <v>12.12</v>
      </c>
    </row>
    <row r="12" spans="1:8" x14ac:dyDescent="0.3">
      <c r="A12" t="s">
        <v>66</v>
      </c>
      <c r="B12" t="s">
        <v>88</v>
      </c>
      <c r="C12">
        <v>561</v>
      </c>
      <c r="D12">
        <v>279</v>
      </c>
      <c r="E12">
        <v>282</v>
      </c>
      <c r="F12">
        <v>50.27</v>
      </c>
      <c r="G12">
        <v>82</v>
      </c>
      <c r="H12">
        <v>29.39</v>
      </c>
    </row>
    <row r="13" spans="1:8" x14ac:dyDescent="0.3">
      <c r="A13" t="s">
        <v>66</v>
      </c>
      <c r="B13" t="s">
        <v>89</v>
      </c>
      <c r="C13">
        <v>561</v>
      </c>
      <c r="D13">
        <v>398</v>
      </c>
      <c r="E13">
        <v>163</v>
      </c>
      <c r="F13">
        <v>29.06</v>
      </c>
      <c r="G13">
        <v>52</v>
      </c>
      <c r="H13">
        <v>13.07</v>
      </c>
    </row>
    <row r="14" spans="1:8" x14ac:dyDescent="0.3">
      <c r="A14" t="s">
        <v>66</v>
      </c>
      <c r="B14" t="s">
        <v>90</v>
      </c>
      <c r="C14">
        <v>561</v>
      </c>
      <c r="D14">
        <v>183</v>
      </c>
      <c r="E14">
        <v>378</v>
      </c>
      <c r="F14">
        <v>67.38</v>
      </c>
      <c r="G14">
        <v>48</v>
      </c>
      <c r="H14">
        <v>26.23</v>
      </c>
    </row>
    <row r="15" spans="1:8" x14ac:dyDescent="0.3">
      <c r="A15" t="s">
        <v>66</v>
      </c>
      <c r="B15" t="s">
        <v>91</v>
      </c>
      <c r="C15">
        <v>561</v>
      </c>
      <c r="D15">
        <v>362</v>
      </c>
      <c r="E15">
        <v>199</v>
      </c>
      <c r="F15">
        <v>35.47</v>
      </c>
      <c r="G15">
        <v>62</v>
      </c>
      <c r="H15">
        <v>17.13</v>
      </c>
    </row>
    <row r="16" spans="1:8" x14ac:dyDescent="0.3">
      <c r="A16" t="s">
        <v>67</v>
      </c>
      <c r="B16" t="s">
        <v>85</v>
      </c>
      <c r="C16">
        <v>407</v>
      </c>
      <c r="D16">
        <v>230</v>
      </c>
      <c r="E16">
        <v>177</v>
      </c>
      <c r="F16">
        <v>43.49</v>
      </c>
      <c r="G16">
        <v>28</v>
      </c>
      <c r="H16">
        <v>12.17</v>
      </c>
    </row>
    <row r="17" spans="1:8" x14ac:dyDescent="0.3">
      <c r="A17" t="s">
        <v>67</v>
      </c>
      <c r="B17" t="s">
        <v>86</v>
      </c>
      <c r="C17">
        <v>407</v>
      </c>
      <c r="D17">
        <v>175</v>
      </c>
      <c r="E17">
        <v>232</v>
      </c>
      <c r="F17">
        <v>57</v>
      </c>
      <c r="G17">
        <v>30</v>
      </c>
      <c r="H17">
        <v>17.14</v>
      </c>
    </row>
    <row r="18" spans="1:8" x14ac:dyDescent="0.3">
      <c r="A18" t="s">
        <v>67</v>
      </c>
      <c r="B18" t="s">
        <v>87</v>
      </c>
      <c r="C18">
        <v>407</v>
      </c>
      <c r="D18">
        <v>246</v>
      </c>
      <c r="E18">
        <v>161</v>
      </c>
      <c r="F18">
        <v>39.56</v>
      </c>
      <c r="G18">
        <v>21</v>
      </c>
      <c r="H18">
        <v>8.5399999999999991</v>
      </c>
    </row>
    <row r="19" spans="1:8" x14ac:dyDescent="0.3">
      <c r="A19" t="s">
        <v>67</v>
      </c>
      <c r="B19" t="s">
        <v>88</v>
      </c>
      <c r="C19">
        <v>407</v>
      </c>
      <c r="D19">
        <v>217</v>
      </c>
      <c r="E19">
        <v>190</v>
      </c>
      <c r="F19">
        <v>46.68</v>
      </c>
      <c r="G19">
        <v>60</v>
      </c>
      <c r="H19">
        <v>27.65</v>
      </c>
    </row>
    <row r="20" spans="1:8" x14ac:dyDescent="0.3">
      <c r="A20" t="s">
        <v>67</v>
      </c>
      <c r="B20" t="s">
        <v>89</v>
      </c>
      <c r="C20">
        <v>407</v>
      </c>
      <c r="D20">
        <v>297</v>
      </c>
      <c r="E20">
        <v>110</v>
      </c>
      <c r="F20">
        <v>27.03</v>
      </c>
      <c r="G20">
        <v>52</v>
      </c>
      <c r="H20">
        <v>17.510000000000002</v>
      </c>
    </row>
    <row r="21" spans="1:8" x14ac:dyDescent="0.3">
      <c r="A21" t="s">
        <v>67</v>
      </c>
      <c r="B21" t="s">
        <v>90</v>
      </c>
      <c r="C21">
        <v>407</v>
      </c>
      <c r="D21">
        <v>127</v>
      </c>
      <c r="E21">
        <v>280</v>
      </c>
      <c r="F21">
        <v>68.8</v>
      </c>
      <c r="G21">
        <v>25</v>
      </c>
      <c r="H21">
        <v>19.690000000000001</v>
      </c>
    </row>
    <row r="22" spans="1:8" x14ac:dyDescent="0.3">
      <c r="A22" t="s">
        <v>67</v>
      </c>
      <c r="B22" t="s">
        <v>91</v>
      </c>
      <c r="C22">
        <v>407</v>
      </c>
      <c r="D22">
        <v>245</v>
      </c>
      <c r="E22">
        <v>162</v>
      </c>
      <c r="F22">
        <v>39.799999999999997</v>
      </c>
      <c r="G22">
        <v>37</v>
      </c>
      <c r="H22">
        <v>15.1</v>
      </c>
    </row>
    <row r="23" spans="1:8" x14ac:dyDescent="0.3">
      <c r="A23" t="s">
        <v>68</v>
      </c>
      <c r="B23" t="s">
        <v>85</v>
      </c>
      <c r="C23">
        <v>65</v>
      </c>
      <c r="D23">
        <v>44</v>
      </c>
      <c r="E23">
        <v>21</v>
      </c>
      <c r="F23">
        <v>32.31</v>
      </c>
      <c r="G23">
        <v>5</v>
      </c>
      <c r="H23">
        <v>11.36</v>
      </c>
    </row>
    <row r="24" spans="1:8" x14ac:dyDescent="0.3">
      <c r="A24" t="s">
        <v>68</v>
      </c>
      <c r="B24" t="s">
        <v>86</v>
      </c>
      <c r="C24">
        <v>65</v>
      </c>
      <c r="D24">
        <v>37</v>
      </c>
      <c r="E24">
        <v>28</v>
      </c>
      <c r="F24">
        <v>43.08</v>
      </c>
      <c r="G24">
        <v>7</v>
      </c>
      <c r="H24">
        <v>18.920000000000002</v>
      </c>
    </row>
    <row r="25" spans="1:8" x14ac:dyDescent="0.3">
      <c r="A25" t="s">
        <v>68</v>
      </c>
      <c r="B25" t="s">
        <v>87</v>
      </c>
      <c r="C25">
        <v>65</v>
      </c>
      <c r="D25">
        <v>41</v>
      </c>
      <c r="E25">
        <v>24</v>
      </c>
      <c r="F25">
        <v>36.92</v>
      </c>
      <c r="G25">
        <v>4</v>
      </c>
      <c r="H25">
        <v>9.76</v>
      </c>
    </row>
    <row r="26" spans="1:8" x14ac:dyDescent="0.3">
      <c r="A26" t="s">
        <v>68</v>
      </c>
      <c r="B26" t="s">
        <v>88</v>
      </c>
      <c r="C26">
        <v>65</v>
      </c>
      <c r="D26">
        <v>44</v>
      </c>
      <c r="E26">
        <v>21</v>
      </c>
      <c r="F26">
        <v>32.31</v>
      </c>
      <c r="G26">
        <v>15</v>
      </c>
      <c r="H26">
        <v>34.090000000000003</v>
      </c>
    </row>
    <row r="27" spans="1:8" x14ac:dyDescent="0.3">
      <c r="A27" t="s">
        <v>68</v>
      </c>
      <c r="B27" t="s">
        <v>89</v>
      </c>
      <c r="C27">
        <v>65</v>
      </c>
      <c r="D27">
        <v>45</v>
      </c>
      <c r="E27">
        <v>20</v>
      </c>
      <c r="F27">
        <v>30.77</v>
      </c>
      <c r="G27">
        <v>19</v>
      </c>
      <c r="H27">
        <v>42.22</v>
      </c>
    </row>
    <row r="28" spans="1:8" x14ac:dyDescent="0.3">
      <c r="A28" t="s">
        <v>68</v>
      </c>
      <c r="B28" t="s">
        <v>90</v>
      </c>
      <c r="C28">
        <v>65</v>
      </c>
      <c r="D28">
        <v>38</v>
      </c>
      <c r="E28">
        <v>27</v>
      </c>
      <c r="F28">
        <v>41.54</v>
      </c>
      <c r="G28">
        <v>17</v>
      </c>
      <c r="H28">
        <v>44.74</v>
      </c>
    </row>
    <row r="29" spans="1:8" x14ac:dyDescent="0.3">
      <c r="A29" t="s">
        <v>68</v>
      </c>
      <c r="B29" t="s">
        <v>91</v>
      </c>
      <c r="C29">
        <v>65</v>
      </c>
      <c r="D29">
        <v>43</v>
      </c>
      <c r="E29">
        <v>22</v>
      </c>
      <c r="F29">
        <v>33.85</v>
      </c>
      <c r="G29">
        <v>26</v>
      </c>
      <c r="H29">
        <v>60.47</v>
      </c>
    </row>
    <row r="30" spans="1:8" x14ac:dyDescent="0.3">
      <c r="A30" t="s">
        <v>69</v>
      </c>
      <c r="B30" t="s">
        <v>85</v>
      </c>
      <c r="C30">
        <v>68</v>
      </c>
      <c r="D30">
        <v>40</v>
      </c>
      <c r="E30">
        <v>28</v>
      </c>
      <c r="F30">
        <v>41.18</v>
      </c>
      <c r="G30">
        <v>1</v>
      </c>
      <c r="H30">
        <v>2.5</v>
      </c>
    </row>
    <row r="31" spans="1:8" x14ac:dyDescent="0.3">
      <c r="A31" t="s">
        <v>69</v>
      </c>
      <c r="B31" t="s">
        <v>86</v>
      </c>
      <c r="C31">
        <v>68</v>
      </c>
      <c r="D31">
        <v>16</v>
      </c>
      <c r="E31">
        <v>52</v>
      </c>
      <c r="F31">
        <v>76.47</v>
      </c>
      <c r="G31">
        <v>8</v>
      </c>
      <c r="H31">
        <v>50</v>
      </c>
    </row>
    <row r="32" spans="1:8" x14ac:dyDescent="0.3">
      <c r="A32" t="s">
        <v>69</v>
      </c>
      <c r="B32" t="s">
        <v>87</v>
      </c>
      <c r="C32">
        <v>68</v>
      </c>
      <c r="D32">
        <v>14</v>
      </c>
      <c r="E32">
        <v>54</v>
      </c>
      <c r="F32">
        <v>79.41</v>
      </c>
      <c r="G32">
        <v>0</v>
      </c>
      <c r="H32">
        <v>0</v>
      </c>
    </row>
    <row r="33" spans="1:8" x14ac:dyDescent="0.3">
      <c r="A33" t="s">
        <v>69</v>
      </c>
      <c r="B33" t="s">
        <v>88</v>
      </c>
      <c r="C33">
        <v>68</v>
      </c>
      <c r="D33">
        <v>50</v>
      </c>
      <c r="E33">
        <v>18</v>
      </c>
      <c r="F33">
        <v>26.47</v>
      </c>
      <c r="G33">
        <v>5</v>
      </c>
      <c r="H33">
        <v>10</v>
      </c>
    </row>
    <row r="34" spans="1:8" x14ac:dyDescent="0.3">
      <c r="A34" t="s">
        <v>69</v>
      </c>
      <c r="B34" t="s">
        <v>89</v>
      </c>
      <c r="C34">
        <v>68</v>
      </c>
      <c r="D34">
        <v>14</v>
      </c>
      <c r="E34">
        <v>54</v>
      </c>
      <c r="F34">
        <v>79.41</v>
      </c>
      <c r="G34">
        <v>0</v>
      </c>
      <c r="H34">
        <v>0</v>
      </c>
    </row>
    <row r="35" spans="1:8" x14ac:dyDescent="0.3">
      <c r="A35" t="s">
        <v>69</v>
      </c>
      <c r="B35" t="s">
        <v>90</v>
      </c>
      <c r="C35">
        <v>68</v>
      </c>
      <c r="D35">
        <v>16</v>
      </c>
      <c r="E35">
        <v>52</v>
      </c>
      <c r="F35">
        <v>76.47</v>
      </c>
      <c r="G35">
        <v>2</v>
      </c>
      <c r="H35">
        <v>12.5</v>
      </c>
    </row>
    <row r="36" spans="1:8" x14ac:dyDescent="0.3">
      <c r="A36" t="s">
        <v>69</v>
      </c>
      <c r="B36" t="s">
        <v>91</v>
      </c>
      <c r="C36">
        <v>68</v>
      </c>
      <c r="D36">
        <v>24</v>
      </c>
      <c r="E36">
        <v>44</v>
      </c>
      <c r="F36">
        <v>64.709999999999994</v>
      </c>
      <c r="G36">
        <v>5</v>
      </c>
      <c r="H36">
        <v>20.83</v>
      </c>
    </row>
    <row r="37" spans="1:8" x14ac:dyDescent="0.3">
      <c r="A37" t="s">
        <v>70</v>
      </c>
      <c r="B37" t="s">
        <v>85</v>
      </c>
      <c r="C37">
        <v>800</v>
      </c>
      <c r="D37">
        <v>659</v>
      </c>
      <c r="E37">
        <v>141</v>
      </c>
      <c r="F37">
        <v>17.63</v>
      </c>
      <c r="G37">
        <v>37</v>
      </c>
      <c r="H37">
        <v>5.61</v>
      </c>
    </row>
    <row r="38" spans="1:8" x14ac:dyDescent="0.3">
      <c r="A38" t="s">
        <v>70</v>
      </c>
      <c r="B38" t="s">
        <v>86</v>
      </c>
      <c r="C38">
        <v>800</v>
      </c>
      <c r="D38">
        <v>451</v>
      </c>
      <c r="E38">
        <v>349</v>
      </c>
      <c r="F38">
        <v>43.63</v>
      </c>
      <c r="G38">
        <v>69</v>
      </c>
      <c r="H38">
        <v>15.3</v>
      </c>
    </row>
    <row r="39" spans="1:8" x14ac:dyDescent="0.3">
      <c r="A39" t="s">
        <v>70</v>
      </c>
      <c r="B39" t="s">
        <v>87</v>
      </c>
      <c r="C39">
        <v>800</v>
      </c>
      <c r="D39">
        <v>588</v>
      </c>
      <c r="E39">
        <v>212</v>
      </c>
      <c r="F39">
        <v>26.5</v>
      </c>
      <c r="G39">
        <v>65</v>
      </c>
      <c r="H39">
        <v>11.05</v>
      </c>
    </row>
    <row r="40" spans="1:8" x14ac:dyDescent="0.3">
      <c r="A40" t="s">
        <v>70</v>
      </c>
      <c r="B40" t="s">
        <v>88</v>
      </c>
      <c r="C40">
        <v>800</v>
      </c>
      <c r="D40">
        <v>646</v>
      </c>
      <c r="E40">
        <v>154</v>
      </c>
      <c r="F40">
        <v>19.25</v>
      </c>
      <c r="G40">
        <v>324</v>
      </c>
      <c r="H40">
        <v>50.15</v>
      </c>
    </row>
    <row r="41" spans="1:8" x14ac:dyDescent="0.3">
      <c r="A41" t="s">
        <v>70</v>
      </c>
      <c r="B41" t="s">
        <v>89</v>
      </c>
      <c r="C41">
        <v>800</v>
      </c>
      <c r="D41">
        <v>629</v>
      </c>
      <c r="E41">
        <v>171</v>
      </c>
      <c r="F41">
        <v>21.38</v>
      </c>
      <c r="G41">
        <v>213</v>
      </c>
      <c r="H41">
        <v>33.86</v>
      </c>
    </row>
    <row r="42" spans="1:8" x14ac:dyDescent="0.3">
      <c r="A42" t="s">
        <v>70</v>
      </c>
      <c r="B42" t="s">
        <v>90</v>
      </c>
      <c r="C42">
        <v>800</v>
      </c>
      <c r="D42">
        <v>520</v>
      </c>
      <c r="E42">
        <v>280</v>
      </c>
      <c r="F42">
        <v>35</v>
      </c>
      <c r="G42">
        <v>95</v>
      </c>
      <c r="H42">
        <v>18.27</v>
      </c>
    </row>
    <row r="43" spans="1:8" x14ac:dyDescent="0.3">
      <c r="A43" t="s">
        <v>70</v>
      </c>
      <c r="B43" t="s">
        <v>91</v>
      </c>
      <c r="C43">
        <v>800</v>
      </c>
      <c r="D43">
        <v>623</v>
      </c>
      <c r="E43">
        <v>177</v>
      </c>
      <c r="F43">
        <v>22.13</v>
      </c>
      <c r="G43">
        <v>135</v>
      </c>
      <c r="H43">
        <v>21.67</v>
      </c>
    </row>
    <row r="44" spans="1:8" x14ac:dyDescent="0.3">
      <c r="A44" t="s">
        <v>71</v>
      </c>
      <c r="B44" t="s">
        <v>85</v>
      </c>
      <c r="C44">
        <v>9</v>
      </c>
      <c r="D44">
        <v>3</v>
      </c>
      <c r="E44">
        <v>6</v>
      </c>
      <c r="F44">
        <v>66.67</v>
      </c>
      <c r="G44">
        <v>0</v>
      </c>
      <c r="H44">
        <v>0</v>
      </c>
    </row>
    <row r="45" spans="1:8" x14ac:dyDescent="0.3">
      <c r="A45" t="s">
        <v>71</v>
      </c>
      <c r="B45" t="s">
        <v>86</v>
      </c>
      <c r="C45">
        <v>9</v>
      </c>
      <c r="D45">
        <v>0</v>
      </c>
      <c r="E45">
        <v>9</v>
      </c>
      <c r="F45">
        <v>100</v>
      </c>
      <c r="G45">
        <v>0</v>
      </c>
    </row>
    <row r="46" spans="1:8" x14ac:dyDescent="0.3">
      <c r="A46" t="s">
        <v>71</v>
      </c>
      <c r="B46" t="s">
        <v>87</v>
      </c>
      <c r="C46">
        <v>9</v>
      </c>
      <c r="D46">
        <v>2</v>
      </c>
      <c r="E46">
        <v>7</v>
      </c>
      <c r="F46">
        <v>77.78</v>
      </c>
      <c r="G46">
        <v>0</v>
      </c>
      <c r="H46">
        <v>0</v>
      </c>
    </row>
    <row r="47" spans="1:8" x14ac:dyDescent="0.3">
      <c r="A47" t="s">
        <v>71</v>
      </c>
      <c r="B47" t="s">
        <v>88</v>
      </c>
      <c r="C47">
        <v>9</v>
      </c>
      <c r="D47">
        <v>4</v>
      </c>
      <c r="E47">
        <v>5</v>
      </c>
      <c r="F47">
        <v>55.56</v>
      </c>
      <c r="G47">
        <v>1</v>
      </c>
      <c r="H47">
        <v>25</v>
      </c>
    </row>
    <row r="48" spans="1:8" x14ac:dyDescent="0.3">
      <c r="A48" t="s">
        <v>71</v>
      </c>
      <c r="B48" t="s">
        <v>89</v>
      </c>
      <c r="C48">
        <v>9</v>
      </c>
      <c r="D48">
        <v>3</v>
      </c>
      <c r="E48">
        <v>6</v>
      </c>
      <c r="F48">
        <v>66.67</v>
      </c>
      <c r="G48">
        <v>0</v>
      </c>
      <c r="H48">
        <v>0</v>
      </c>
    </row>
    <row r="49" spans="1:8" x14ac:dyDescent="0.3">
      <c r="A49" t="s">
        <v>71</v>
      </c>
      <c r="B49" t="s">
        <v>90</v>
      </c>
      <c r="C49">
        <v>9</v>
      </c>
      <c r="D49">
        <v>0</v>
      </c>
      <c r="E49">
        <v>9</v>
      </c>
      <c r="F49">
        <v>100</v>
      </c>
      <c r="G49">
        <v>0</v>
      </c>
    </row>
    <row r="50" spans="1:8" x14ac:dyDescent="0.3">
      <c r="A50" t="s">
        <v>71</v>
      </c>
      <c r="B50" t="s">
        <v>91</v>
      </c>
      <c r="C50">
        <v>9</v>
      </c>
      <c r="D50">
        <v>1</v>
      </c>
      <c r="E50">
        <v>8</v>
      </c>
      <c r="F50">
        <v>88.89</v>
      </c>
      <c r="G50">
        <v>0</v>
      </c>
      <c r="H50">
        <v>0</v>
      </c>
    </row>
    <row r="51" spans="1:8" x14ac:dyDescent="0.3">
      <c r="A51" t="s">
        <v>72</v>
      </c>
      <c r="B51" t="s">
        <v>85</v>
      </c>
      <c r="C51">
        <v>343</v>
      </c>
      <c r="D51">
        <v>308</v>
      </c>
      <c r="E51">
        <v>35</v>
      </c>
      <c r="F51">
        <v>10.199999999999999</v>
      </c>
      <c r="G51">
        <v>19</v>
      </c>
      <c r="H51">
        <v>6.17</v>
      </c>
    </row>
    <row r="52" spans="1:8" x14ac:dyDescent="0.3">
      <c r="A52" t="s">
        <v>72</v>
      </c>
      <c r="B52" t="s">
        <v>86</v>
      </c>
      <c r="C52">
        <v>343</v>
      </c>
      <c r="D52">
        <v>265</v>
      </c>
      <c r="E52">
        <v>78</v>
      </c>
      <c r="F52">
        <v>22.74</v>
      </c>
      <c r="G52">
        <v>27</v>
      </c>
      <c r="H52">
        <v>10.19</v>
      </c>
    </row>
    <row r="53" spans="1:8" x14ac:dyDescent="0.3">
      <c r="A53" t="s">
        <v>72</v>
      </c>
      <c r="B53" t="s">
        <v>87</v>
      </c>
      <c r="C53">
        <v>343</v>
      </c>
      <c r="D53">
        <v>304</v>
      </c>
      <c r="E53">
        <v>39</v>
      </c>
      <c r="F53">
        <v>11.37</v>
      </c>
      <c r="G53">
        <v>41</v>
      </c>
      <c r="H53">
        <v>13.49</v>
      </c>
    </row>
    <row r="54" spans="1:8" x14ac:dyDescent="0.3">
      <c r="A54" t="s">
        <v>72</v>
      </c>
      <c r="B54" t="s">
        <v>88</v>
      </c>
      <c r="C54">
        <v>343</v>
      </c>
      <c r="D54">
        <v>294</v>
      </c>
      <c r="E54">
        <v>49</v>
      </c>
      <c r="F54">
        <v>14.29</v>
      </c>
      <c r="G54">
        <v>79</v>
      </c>
      <c r="H54">
        <v>26.87</v>
      </c>
    </row>
    <row r="55" spans="1:8" x14ac:dyDescent="0.3">
      <c r="A55" t="s">
        <v>72</v>
      </c>
      <c r="B55" t="s">
        <v>89</v>
      </c>
      <c r="C55">
        <v>343</v>
      </c>
      <c r="D55">
        <v>320</v>
      </c>
      <c r="E55">
        <v>23</v>
      </c>
      <c r="F55">
        <v>6.71</v>
      </c>
      <c r="G55">
        <v>76</v>
      </c>
      <c r="H55">
        <v>23.75</v>
      </c>
    </row>
    <row r="56" spans="1:8" x14ac:dyDescent="0.3">
      <c r="A56" t="s">
        <v>72</v>
      </c>
      <c r="B56" t="s">
        <v>90</v>
      </c>
      <c r="C56">
        <v>343</v>
      </c>
      <c r="D56">
        <v>256</v>
      </c>
      <c r="E56">
        <v>87</v>
      </c>
      <c r="F56">
        <v>25.36</v>
      </c>
      <c r="G56">
        <v>79</v>
      </c>
      <c r="H56">
        <v>30.86</v>
      </c>
    </row>
    <row r="57" spans="1:8" x14ac:dyDescent="0.3">
      <c r="A57" t="s">
        <v>72</v>
      </c>
      <c r="B57" t="s">
        <v>91</v>
      </c>
      <c r="C57">
        <v>343</v>
      </c>
      <c r="D57">
        <v>303</v>
      </c>
      <c r="E57">
        <v>40</v>
      </c>
      <c r="F57">
        <v>11.66</v>
      </c>
      <c r="G57">
        <v>84</v>
      </c>
      <c r="H57">
        <v>27.72</v>
      </c>
    </row>
    <row r="58" spans="1:8" x14ac:dyDescent="0.3">
      <c r="A58" t="s">
        <v>73</v>
      </c>
      <c r="B58" t="s">
        <v>85</v>
      </c>
      <c r="C58">
        <v>462</v>
      </c>
      <c r="D58">
        <v>376</v>
      </c>
      <c r="E58">
        <v>86</v>
      </c>
      <c r="F58">
        <v>18.61</v>
      </c>
      <c r="G58">
        <v>20</v>
      </c>
      <c r="H58">
        <v>5.32</v>
      </c>
    </row>
    <row r="59" spans="1:8" x14ac:dyDescent="0.3">
      <c r="A59" t="s">
        <v>73</v>
      </c>
      <c r="B59" t="s">
        <v>86</v>
      </c>
      <c r="C59">
        <v>462</v>
      </c>
      <c r="D59">
        <v>310</v>
      </c>
      <c r="E59">
        <v>152</v>
      </c>
      <c r="F59">
        <v>32.9</v>
      </c>
      <c r="G59">
        <v>40</v>
      </c>
      <c r="H59">
        <v>12.9</v>
      </c>
    </row>
    <row r="60" spans="1:8" x14ac:dyDescent="0.3">
      <c r="A60" t="s">
        <v>73</v>
      </c>
      <c r="B60" t="s">
        <v>87</v>
      </c>
      <c r="C60">
        <v>462</v>
      </c>
      <c r="D60">
        <v>355</v>
      </c>
      <c r="E60">
        <v>107</v>
      </c>
      <c r="F60">
        <v>23.16</v>
      </c>
      <c r="G60">
        <v>31</v>
      </c>
      <c r="H60">
        <v>8.73</v>
      </c>
    </row>
    <row r="61" spans="1:8" x14ac:dyDescent="0.3">
      <c r="A61" t="s">
        <v>73</v>
      </c>
      <c r="B61" t="s">
        <v>88</v>
      </c>
      <c r="C61">
        <v>462</v>
      </c>
      <c r="D61">
        <v>368</v>
      </c>
      <c r="E61">
        <v>94</v>
      </c>
      <c r="F61">
        <v>20.350000000000001</v>
      </c>
      <c r="G61">
        <v>102</v>
      </c>
      <c r="H61">
        <v>27.72</v>
      </c>
    </row>
    <row r="62" spans="1:8" x14ac:dyDescent="0.3">
      <c r="A62" t="s">
        <v>73</v>
      </c>
      <c r="B62" t="s">
        <v>89</v>
      </c>
      <c r="C62">
        <v>462</v>
      </c>
      <c r="D62">
        <v>382</v>
      </c>
      <c r="E62">
        <v>80</v>
      </c>
      <c r="F62">
        <v>17.32</v>
      </c>
      <c r="G62">
        <v>69</v>
      </c>
      <c r="H62">
        <v>18.059999999999999</v>
      </c>
    </row>
    <row r="63" spans="1:8" x14ac:dyDescent="0.3">
      <c r="A63" t="s">
        <v>73</v>
      </c>
      <c r="B63" t="s">
        <v>90</v>
      </c>
      <c r="C63">
        <v>462</v>
      </c>
      <c r="D63">
        <v>302</v>
      </c>
      <c r="E63">
        <v>160</v>
      </c>
      <c r="F63">
        <v>34.630000000000003</v>
      </c>
      <c r="G63">
        <v>88</v>
      </c>
      <c r="H63">
        <v>29.14</v>
      </c>
    </row>
    <row r="64" spans="1:8" x14ac:dyDescent="0.3">
      <c r="A64" t="s">
        <v>73</v>
      </c>
      <c r="B64" t="s">
        <v>91</v>
      </c>
      <c r="C64">
        <v>462</v>
      </c>
      <c r="D64">
        <v>356</v>
      </c>
      <c r="E64">
        <v>106</v>
      </c>
      <c r="F64">
        <v>22.94</v>
      </c>
      <c r="G64">
        <v>104</v>
      </c>
      <c r="H64">
        <v>29.21</v>
      </c>
    </row>
    <row r="65" spans="1:8" x14ac:dyDescent="0.3">
      <c r="A65" t="s">
        <v>74</v>
      </c>
      <c r="B65" t="s">
        <v>85</v>
      </c>
      <c r="C65">
        <v>2052</v>
      </c>
      <c r="D65">
        <v>1580</v>
      </c>
      <c r="E65">
        <v>472</v>
      </c>
      <c r="F65">
        <v>23</v>
      </c>
      <c r="G65">
        <v>91</v>
      </c>
      <c r="H65">
        <v>5.76</v>
      </c>
    </row>
    <row r="66" spans="1:8" x14ac:dyDescent="0.3">
      <c r="A66" t="s">
        <v>74</v>
      </c>
      <c r="B66" t="s">
        <v>86</v>
      </c>
      <c r="C66">
        <v>2052</v>
      </c>
      <c r="D66">
        <v>1291</v>
      </c>
      <c r="E66">
        <v>761</v>
      </c>
      <c r="F66">
        <v>37.090000000000003</v>
      </c>
      <c r="G66">
        <v>138</v>
      </c>
      <c r="H66">
        <v>10.69</v>
      </c>
    </row>
    <row r="67" spans="1:8" x14ac:dyDescent="0.3">
      <c r="A67" t="s">
        <v>74</v>
      </c>
      <c r="B67" t="s">
        <v>87</v>
      </c>
      <c r="C67">
        <v>2052</v>
      </c>
      <c r="D67">
        <v>1567</v>
      </c>
      <c r="E67">
        <v>485</v>
      </c>
      <c r="F67">
        <v>23.64</v>
      </c>
      <c r="G67">
        <v>139</v>
      </c>
      <c r="H67">
        <v>8.8699999999999992</v>
      </c>
    </row>
    <row r="68" spans="1:8" x14ac:dyDescent="0.3">
      <c r="A68" t="s">
        <v>74</v>
      </c>
      <c r="B68" t="s">
        <v>88</v>
      </c>
      <c r="C68">
        <v>2052</v>
      </c>
      <c r="D68">
        <v>1525</v>
      </c>
      <c r="E68">
        <v>527</v>
      </c>
      <c r="F68">
        <v>25.68</v>
      </c>
      <c r="G68">
        <v>408</v>
      </c>
      <c r="H68">
        <v>26.75</v>
      </c>
    </row>
    <row r="69" spans="1:8" x14ac:dyDescent="0.3">
      <c r="A69" t="s">
        <v>74</v>
      </c>
      <c r="B69" t="s">
        <v>89</v>
      </c>
      <c r="C69">
        <v>2052</v>
      </c>
      <c r="D69">
        <v>1688</v>
      </c>
      <c r="E69">
        <v>364</v>
      </c>
      <c r="F69">
        <v>17.739999999999998</v>
      </c>
      <c r="G69">
        <v>384</v>
      </c>
      <c r="H69">
        <v>22.75</v>
      </c>
    </row>
    <row r="70" spans="1:8" x14ac:dyDescent="0.3">
      <c r="A70" t="s">
        <v>74</v>
      </c>
      <c r="B70" t="s">
        <v>90</v>
      </c>
      <c r="C70">
        <v>2052</v>
      </c>
      <c r="D70">
        <v>1192</v>
      </c>
      <c r="E70">
        <v>860</v>
      </c>
      <c r="F70">
        <v>41.91</v>
      </c>
      <c r="G70">
        <v>308</v>
      </c>
      <c r="H70">
        <v>25.84</v>
      </c>
    </row>
    <row r="71" spans="1:8" x14ac:dyDescent="0.3">
      <c r="A71" t="s">
        <v>74</v>
      </c>
      <c r="B71" t="s">
        <v>91</v>
      </c>
      <c r="C71">
        <v>2052</v>
      </c>
      <c r="D71">
        <v>1575</v>
      </c>
      <c r="E71">
        <v>477</v>
      </c>
      <c r="F71">
        <v>23.25</v>
      </c>
      <c r="G71">
        <v>448</v>
      </c>
      <c r="H71">
        <v>28.44</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E0E5D-3D2D-48B1-9BFF-F6036448AA38}">
  <dimension ref="A1:H4"/>
  <sheetViews>
    <sheetView workbookViewId="0">
      <selection sqref="A1:B4"/>
    </sheetView>
  </sheetViews>
  <sheetFormatPr defaultRowHeight="14.4" x14ac:dyDescent="0.3"/>
  <cols>
    <col min="1" max="1" width="21.109375" bestFit="1" customWidth="1"/>
    <col min="2" max="2" width="15.6640625" bestFit="1" customWidth="1"/>
    <col min="3" max="3" width="16.21875" bestFit="1" customWidth="1"/>
    <col min="4" max="4" width="21" bestFit="1" customWidth="1"/>
    <col min="5" max="5" width="22.88671875" bestFit="1" customWidth="1"/>
    <col min="6" max="6" width="16.21875" bestFit="1" customWidth="1"/>
    <col min="7" max="7" width="18.88671875" bestFit="1" customWidth="1"/>
    <col min="8" max="8" width="11.5546875" bestFit="1" customWidth="1"/>
  </cols>
  <sheetData>
    <row r="1" spans="1:8" x14ac:dyDescent="0.3">
      <c r="A1" t="s">
        <v>92</v>
      </c>
      <c r="B1" t="s">
        <v>1</v>
      </c>
      <c r="C1" t="s">
        <v>2</v>
      </c>
      <c r="D1" t="s">
        <v>3</v>
      </c>
      <c r="E1" t="s">
        <v>4</v>
      </c>
      <c r="F1" t="s">
        <v>5</v>
      </c>
      <c r="G1" t="s">
        <v>6</v>
      </c>
      <c r="H1" t="s">
        <v>7</v>
      </c>
    </row>
    <row r="2" spans="1:8" x14ac:dyDescent="0.3">
      <c r="A2" t="s">
        <v>93</v>
      </c>
      <c r="B2">
        <v>3369</v>
      </c>
      <c r="C2">
        <v>2971</v>
      </c>
      <c r="D2">
        <v>3131</v>
      </c>
      <c r="E2">
        <v>92.94</v>
      </c>
      <c r="F2">
        <v>398</v>
      </c>
      <c r="G2">
        <v>11.81</v>
      </c>
      <c r="H2">
        <v>3.01</v>
      </c>
    </row>
    <row r="3" spans="1:8" x14ac:dyDescent="0.3">
      <c r="A3" t="s">
        <v>95</v>
      </c>
      <c r="B3">
        <v>1344</v>
      </c>
      <c r="C3">
        <v>596</v>
      </c>
      <c r="D3">
        <v>1313</v>
      </c>
      <c r="E3">
        <v>97.69</v>
      </c>
      <c r="F3">
        <v>748</v>
      </c>
      <c r="G3">
        <v>55.65</v>
      </c>
      <c r="H3">
        <v>3.32</v>
      </c>
    </row>
    <row r="4" spans="1:8" x14ac:dyDescent="0.3">
      <c r="A4" t="s">
        <v>94</v>
      </c>
      <c r="B4">
        <v>99</v>
      </c>
      <c r="C4">
        <v>0</v>
      </c>
      <c r="D4">
        <v>53</v>
      </c>
      <c r="E4">
        <v>53.54</v>
      </c>
      <c r="F4">
        <v>99</v>
      </c>
      <c r="G4">
        <v>100</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B97F8-CA9D-4312-B8BD-37285B0C20E8}">
  <dimension ref="A1:G3"/>
  <sheetViews>
    <sheetView workbookViewId="0">
      <selection activeCell="G1" activeCellId="3" sqref="A1 A2:A3 G2:G3 G1"/>
    </sheetView>
  </sheetViews>
  <sheetFormatPr defaultRowHeight="14.4" x14ac:dyDescent="0.3"/>
  <cols>
    <col min="1" max="1" width="21.109375" bestFit="1" customWidth="1"/>
    <col min="2" max="2" width="15.6640625" bestFit="1" customWidth="1"/>
    <col min="3" max="3" width="16.21875" bestFit="1" customWidth="1"/>
    <col min="4" max="4" width="11.5546875" bestFit="1" customWidth="1"/>
    <col min="5" max="5" width="20" bestFit="1" customWidth="1"/>
    <col min="6" max="6" width="15.77734375" bestFit="1" customWidth="1"/>
    <col min="7" max="7" width="28.88671875" bestFit="1" customWidth="1"/>
  </cols>
  <sheetData>
    <row r="1" spans="1:7" x14ac:dyDescent="0.3">
      <c r="A1" t="s">
        <v>92</v>
      </c>
      <c r="B1" t="s">
        <v>1</v>
      </c>
      <c r="C1" t="s">
        <v>2</v>
      </c>
      <c r="D1" t="s">
        <v>7</v>
      </c>
      <c r="E1" t="s">
        <v>75</v>
      </c>
      <c r="F1" t="s">
        <v>76</v>
      </c>
      <c r="G1" t="s">
        <v>77</v>
      </c>
    </row>
    <row r="2" spans="1:7" x14ac:dyDescent="0.3">
      <c r="A2" t="s">
        <v>93</v>
      </c>
      <c r="B2">
        <v>3369</v>
      </c>
      <c r="C2">
        <v>2971</v>
      </c>
      <c r="D2">
        <v>3.01</v>
      </c>
      <c r="E2">
        <v>88.19</v>
      </c>
      <c r="F2">
        <v>0.99299999999999999</v>
      </c>
      <c r="G2">
        <v>2.99</v>
      </c>
    </row>
    <row r="3" spans="1:7" x14ac:dyDescent="0.3">
      <c r="A3" t="s">
        <v>95</v>
      </c>
      <c r="B3">
        <v>1344</v>
      </c>
      <c r="C3">
        <v>596</v>
      </c>
      <c r="D3">
        <v>3.32</v>
      </c>
      <c r="E3">
        <v>44.35</v>
      </c>
      <c r="F3">
        <v>0.96799999999999997</v>
      </c>
      <c r="G3">
        <v>3.21</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02DE6-02D5-404A-B358-F31CAC00F8B5}">
  <dimension ref="A1:H22"/>
  <sheetViews>
    <sheetView workbookViewId="0"/>
  </sheetViews>
  <sheetFormatPr defaultRowHeight="14.4" x14ac:dyDescent="0.3"/>
  <cols>
    <col min="1" max="1" width="21.109375" bestFit="1" customWidth="1"/>
    <col min="2" max="2" width="26.5546875" bestFit="1" customWidth="1"/>
    <col min="3" max="3" width="28.33203125" bestFit="1" customWidth="1"/>
    <col min="4" max="4" width="19" bestFit="1" customWidth="1"/>
    <col min="5" max="5" width="16.88671875" bestFit="1" customWidth="1"/>
    <col min="6" max="6" width="13.21875" bestFit="1" customWidth="1"/>
    <col min="7" max="7" width="22.77734375" bestFit="1" customWidth="1"/>
    <col min="8" max="8" width="19.109375" bestFit="1" customWidth="1"/>
  </cols>
  <sheetData>
    <row r="1" spans="1:8" x14ac:dyDescent="0.3">
      <c r="A1" t="s">
        <v>92</v>
      </c>
      <c r="B1" t="s">
        <v>78</v>
      </c>
      <c r="C1" t="s">
        <v>79</v>
      </c>
      <c r="D1" t="s">
        <v>80</v>
      </c>
      <c r="E1" t="s">
        <v>81</v>
      </c>
      <c r="F1" t="s">
        <v>82</v>
      </c>
      <c r="G1" t="s">
        <v>83</v>
      </c>
      <c r="H1" t="s">
        <v>84</v>
      </c>
    </row>
    <row r="2" spans="1:8" x14ac:dyDescent="0.3">
      <c r="A2" t="s">
        <v>93</v>
      </c>
      <c r="B2" t="s">
        <v>85</v>
      </c>
      <c r="C2">
        <v>3369</v>
      </c>
      <c r="D2">
        <v>3092</v>
      </c>
      <c r="E2">
        <v>277</v>
      </c>
      <c r="F2">
        <v>8.2200000000000006</v>
      </c>
      <c r="G2">
        <v>230</v>
      </c>
      <c r="H2">
        <v>7.44</v>
      </c>
    </row>
    <row r="3" spans="1:8" x14ac:dyDescent="0.3">
      <c r="A3" t="s">
        <v>93</v>
      </c>
      <c r="B3" t="s">
        <v>86</v>
      </c>
      <c r="C3">
        <v>3369</v>
      </c>
      <c r="D3">
        <v>2503</v>
      </c>
      <c r="E3">
        <v>866</v>
      </c>
      <c r="F3">
        <v>25.7</v>
      </c>
      <c r="G3">
        <v>341</v>
      </c>
      <c r="H3">
        <v>13.62</v>
      </c>
    </row>
    <row r="4" spans="1:8" x14ac:dyDescent="0.3">
      <c r="A4" t="s">
        <v>93</v>
      </c>
      <c r="B4" t="s">
        <v>87</v>
      </c>
      <c r="C4">
        <v>3369</v>
      </c>
      <c r="D4">
        <v>2852</v>
      </c>
      <c r="E4">
        <v>517</v>
      </c>
      <c r="F4">
        <v>15.35</v>
      </c>
      <c r="G4">
        <v>341</v>
      </c>
      <c r="H4">
        <v>11.96</v>
      </c>
    </row>
    <row r="5" spans="1:8" x14ac:dyDescent="0.3">
      <c r="A5" t="s">
        <v>93</v>
      </c>
      <c r="B5" t="s">
        <v>88</v>
      </c>
      <c r="C5">
        <v>3369</v>
      </c>
      <c r="D5">
        <v>2994</v>
      </c>
      <c r="E5">
        <v>375</v>
      </c>
      <c r="F5">
        <v>11.13</v>
      </c>
      <c r="G5">
        <v>1062</v>
      </c>
      <c r="H5">
        <v>35.47</v>
      </c>
    </row>
    <row r="6" spans="1:8" x14ac:dyDescent="0.3">
      <c r="A6" t="s">
        <v>93</v>
      </c>
      <c r="B6" t="s">
        <v>89</v>
      </c>
      <c r="C6">
        <v>3369</v>
      </c>
      <c r="D6">
        <v>2934</v>
      </c>
      <c r="E6">
        <v>435</v>
      </c>
      <c r="F6">
        <v>12.91</v>
      </c>
      <c r="G6">
        <v>843</v>
      </c>
      <c r="H6">
        <v>28.73</v>
      </c>
    </row>
    <row r="7" spans="1:8" x14ac:dyDescent="0.3">
      <c r="A7" t="s">
        <v>93</v>
      </c>
      <c r="B7" t="s">
        <v>90</v>
      </c>
      <c r="C7">
        <v>3369</v>
      </c>
      <c r="D7">
        <v>2642</v>
      </c>
      <c r="E7">
        <v>727</v>
      </c>
      <c r="F7">
        <v>21.58</v>
      </c>
      <c r="G7">
        <v>664</v>
      </c>
      <c r="H7">
        <v>25.13</v>
      </c>
    </row>
    <row r="8" spans="1:8" x14ac:dyDescent="0.3">
      <c r="A8" t="s">
        <v>93</v>
      </c>
      <c r="B8" t="s">
        <v>91</v>
      </c>
      <c r="C8">
        <v>3369</v>
      </c>
      <c r="D8">
        <v>2959</v>
      </c>
      <c r="E8">
        <v>410</v>
      </c>
      <c r="F8">
        <v>12.17</v>
      </c>
      <c r="G8">
        <v>900</v>
      </c>
      <c r="H8">
        <v>30.42</v>
      </c>
    </row>
    <row r="9" spans="1:8" x14ac:dyDescent="0.3">
      <c r="A9" t="s">
        <v>94</v>
      </c>
      <c r="B9" t="s">
        <v>85</v>
      </c>
      <c r="C9">
        <v>99</v>
      </c>
      <c r="D9">
        <v>0</v>
      </c>
      <c r="E9">
        <v>99</v>
      </c>
      <c r="F9">
        <v>100</v>
      </c>
      <c r="G9">
        <v>0</v>
      </c>
    </row>
    <row r="10" spans="1:8" x14ac:dyDescent="0.3">
      <c r="A10" t="s">
        <v>94</v>
      </c>
      <c r="B10" t="s">
        <v>86</v>
      </c>
      <c r="C10">
        <v>99</v>
      </c>
      <c r="D10">
        <v>0</v>
      </c>
      <c r="E10">
        <v>99</v>
      </c>
      <c r="F10">
        <v>100</v>
      </c>
      <c r="G10">
        <v>0</v>
      </c>
    </row>
    <row r="11" spans="1:8" x14ac:dyDescent="0.3">
      <c r="A11" t="s">
        <v>94</v>
      </c>
      <c r="B11" t="s">
        <v>87</v>
      </c>
      <c r="C11">
        <v>99</v>
      </c>
      <c r="D11">
        <v>0</v>
      </c>
      <c r="E11">
        <v>99</v>
      </c>
      <c r="F11">
        <v>100</v>
      </c>
      <c r="G11">
        <v>0</v>
      </c>
    </row>
    <row r="12" spans="1:8" x14ac:dyDescent="0.3">
      <c r="A12" t="s">
        <v>94</v>
      </c>
      <c r="B12" t="s">
        <v>88</v>
      </c>
      <c r="C12">
        <v>99</v>
      </c>
      <c r="D12">
        <v>0</v>
      </c>
      <c r="E12">
        <v>99</v>
      </c>
      <c r="F12">
        <v>100</v>
      </c>
      <c r="G12">
        <v>0</v>
      </c>
    </row>
    <row r="13" spans="1:8" x14ac:dyDescent="0.3">
      <c r="A13" t="s">
        <v>94</v>
      </c>
      <c r="B13" t="s">
        <v>89</v>
      </c>
      <c r="C13">
        <v>99</v>
      </c>
      <c r="D13">
        <v>0</v>
      </c>
      <c r="E13">
        <v>99</v>
      </c>
      <c r="F13">
        <v>100</v>
      </c>
      <c r="G13">
        <v>0</v>
      </c>
    </row>
    <row r="14" spans="1:8" x14ac:dyDescent="0.3">
      <c r="A14" t="s">
        <v>94</v>
      </c>
      <c r="B14" t="s">
        <v>90</v>
      </c>
      <c r="C14">
        <v>99</v>
      </c>
      <c r="D14">
        <v>0</v>
      </c>
      <c r="E14">
        <v>99</v>
      </c>
      <c r="F14">
        <v>100</v>
      </c>
      <c r="G14">
        <v>0</v>
      </c>
    </row>
    <row r="15" spans="1:8" x14ac:dyDescent="0.3">
      <c r="A15" t="s">
        <v>94</v>
      </c>
      <c r="B15" t="s">
        <v>91</v>
      </c>
      <c r="C15">
        <v>99</v>
      </c>
      <c r="D15">
        <v>0</v>
      </c>
      <c r="E15">
        <v>99</v>
      </c>
      <c r="F15">
        <v>100</v>
      </c>
      <c r="G15">
        <v>0</v>
      </c>
    </row>
    <row r="16" spans="1:8" x14ac:dyDescent="0.3">
      <c r="A16" t="s">
        <v>95</v>
      </c>
      <c r="B16" t="s">
        <v>85</v>
      </c>
      <c r="C16">
        <v>1344</v>
      </c>
      <c r="D16">
        <v>518</v>
      </c>
      <c r="E16">
        <v>826</v>
      </c>
      <c r="F16">
        <v>61.46</v>
      </c>
      <c r="G16">
        <v>12</v>
      </c>
      <c r="H16">
        <v>2.3199999999999998</v>
      </c>
    </row>
    <row r="17" spans="1:8" x14ac:dyDescent="0.3">
      <c r="A17" t="s">
        <v>95</v>
      </c>
      <c r="B17" t="s">
        <v>86</v>
      </c>
      <c r="C17">
        <v>1344</v>
      </c>
      <c r="D17">
        <v>276</v>
      </c>
      <c r="E17">
        <v>1068</v>
      </c>
      <c r="F17">
        <v>79.459999999999994</v>
      </c>
      <c r="G17">
        <v>29</v>
      </c>
      <c r="H17">
        <v>10.51</v>
      </c>
    </row>
    <row r="18" spans="1:8" x14ac:dyDescent="0.3">
      <c r="A18" t="s">
        <v>95</v>
      </c>
      <c r="B18" t="s">
        <v>87</v>
      </c>
      <c r="C18">
        <v>1344</v>
      </c>
      <c r="D18">
        <v>608</v>
      </c>
      <c r="E18">
        <v>736</v>
      </c>
      <c r="F18">
        <v>54.76</v>
      </c>
      <c r="G18">
        <v>0</v>
      </c>
      <c r="H18">
        <v>0</v>
      </c>
    </row>
    <row r="19" spans="1:8" x14ac:dyDescent="0.3">
      <c r="A19" t="s">
        <v>95</v>
      </c>
      <c r="B19" t="s">
        <v>88</v>
      </c>
      <c r="C19">
        <v>1344</v>
      </c>
      <c r="D19">
        <v>449</v>
      </c>
      <c r="E19">
        <v>895</v>
      </c>
      <c r="F19">
        <v>66.59</v>
      </c>
      <c r="G19">
        <v>19</v>
      </c>
      <c r="H19">
        <v>4.2300000000000004</v>
      </c>
    </row>
    <row r="20" spans="1:8" x14ac:dyDescent="0.3">
      <c r="A20" t="s">
        <v>95</v>
      </c>
      <c r="B20" t="s">
        <v>89</v>
      </c>
      <c r="C20">
        <v>1344</v>
      </c>
      <c r="D20">
        <v>861</v>
      </c>
      <c r="E20">
        <v>483</v>
      </c>
      <c r="F20">
        <v>35.94</v>
      </c>
      <c r="G20">
        <v>23</v>
      </c>
      <c r="H20">
        <v>2.67</v>
      </c>
    </row>
    <row r="21" spans="1:8" x14ac:dyDescent="0.3">
      <c r="A21" t="s">
        <v>95</v>
      </c>
      <c r="B21" t="s">
        <v>90</v>
      </c>
      <c r="C21">
        <v>1344</v>
      </c>
      <c r="D21">
        <v>2</v>
      </c>
      <c r="E21">
        <v>1342</v>
      </c>
      <c r="F21">
        <v>99.85</v>
      </c>
      <c r="G21">
        <v>0</v>
      </c>
      <c r="H21">
        <v>0</v>
      </c>
    </row>
    <row r="22" spans="1:8" x14ac:dyDescent="0.3">
      <c r="A22" t="s">
        <v>95</v>
      </c>
      <c r="B22" t="s">
        <v>91</v>
      </c>
      <c r="C22">
        <v>1344</v>
      </c>
      <c r="D22">
        <v>587</v>
      </c>
      <c r="E22">
        <v>757</v>
      </c>
      <c r="F22">
        <v>56.32</v>
      </c>
      <c r="G22">
        <v>4</v>
      </c>
      <c r="H22">
        <v>0.68</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B9AF4-A11F-47D7-A714-76E7184B8D54}">
  <dimension ref="A1:C29"/>
  <sheetViews>
    <sheetView workbookViewId="0"/>
  </sheetViews>
  <sheetFormatPr defaultRowHeight="14.4" x14ac:dyDescent="0.3"/>
  <cols>
    <col min="1" max="1" width="26.5546875" bestFit="1" customWidth="1"/>
    <col min="2" max="2" width="24.44140625" bestFit="1" customWidth="1"/>
    <col min="3" max="3" width="15.5546875" bestFit="1" customWidth="1"/>
  </cols>
  <sheetData>
    <row r="1" spans="1:3" x14ac:dyDescent="0.3">
      <c r="A1" t="s">
        <v>78</v>
      </c>
      <c r="B1" t="s">
        <v>96</v>
      </c>
      <c r="C1" t="s">
        <v>97</v>
      </c>
    </row>
    <row r="2" spans="1:3" x14ac:dyDescent="0.3">
      <c r="A2" t="s">
        <v>85</v>
      </c>
      <c r="B2" t="s">
        <v>98</v>
      </c>
      <c r="C2">
        <v>130</v>
      </c>
    </row>
    <row r="3" spans="1:3" x14ac:dyDescent="0.3">
      <c r="A3" t="s">
        <v>85</v>
      </c>
      <c r="B3" t="s">
        <v>99</v>
      </c>
      <c r="C3">
        <v>242</v>
      </c>
    </row>
    <row r="4" spans="1:3" x14ac:dyDescent="0.3">
      <c r="A4" t="s">
        <v>85</v>
      </c>
      <c r="B4" t="s">
        <v>100</v>
      </c>
      <c r="C4">
        <v>1202</v>
      </c>
    </row>
    <row r="5" spans="1:3" x14ac:dyDescent="0.3">
      <c r="A5" t="s">
        <v>85</v>
      </c>
      <c r="B5" t="s">
        <v>101</v>
      </c>
      <c r="C5">
        <v>3238</v>
      </c>
    </row>
    <row r="6" spans="1:3" x14ac:dyDescent="0.3">
      <c r="A6" t="s">
        <v>86</v>
      </c>
      <c r="B6" t="s">
        <v>98</v>
      </c>
      <c r="C6">
        <v>358</v>
      </c>
    </row>
    <row r="7" spans="1:3" x14ac:dyDescent="0.3">
      <c r="A7" t="s">
        <v>86</v>
      </c>
      <c r="B7" t="s">
        <v>99</v>
      </c>
      <c r="C7">
        <v>370</v>
      </c>
    </row>
    <row r="8" spans="1:3" x14ac:dyDescent="0.3">
      <c r="A8" t="s">
        <v>86</v>
      </c>
      <c r="B8" t="s">
        <v>100</v>
      </c>
      <c r="C8">
        <v>2033</v>
      </c>
    </row>
    <row r="9" spans="1:3" x14ac:dyDescent="0.3">
      <c r="A9" t="s">
        <v>86</v>
      </c>
      <c r="B9" t="s">
        <v>101</v>
      </c>
      <c r="C9">
        <v>2051</v>
      </c>
    </row>
    <row r="10" spans="1:3" x14ac:dyDescent="0.3">
      <c r="A10" t="s">
        <v>87</v>
      </c>
      <c r="B10" t="s">
        <v>98</v>
      </c>
      <c r="C10">
        <v>400</v>
      </c>
    </row>
    <row r="11" spans="1:3" x14ac:dyDescent="0.3">
      <c r="A11" t="s">
        <v>87</v>
      </c>
      <c r="B11" t="s">
        <v>99</v>
      </c>
      <c r="C11">
        <v>341</v>
      </c>
    </row>
    <row r="12" spans="1:3" x14ac:dyDescent="0.3">
      <c r="A12" t="s">
        <v>87</v>
      </c>
      <c r="B12" t="s">
        <v>100</v>
      </c>
      <c r="C12">
        <v>1352</v>
      </c>
    </row>
    <row r="13" spans="1:3" x14ac:dyDescent="0.3">
      <c r="A13" t="s">
        <v>87</v>
      </c>
      <c r="B13" t="s">
        <v>101</v>
      </c>
      <c r="C13">
        <v>2719</v>
      </c>
    </row>
    <row r="14" spans="1:3" x14ac:dyDescent="0.3">
      <c r="A14" t="s">
        <v>88</v>
      </c>
      <c r="B14" t="s">
        <v>98</v>
      </c>
      <c r="C14">
        <v>1214</v>
      </c>
    </row>
    <row r="15" spans="1:3" x14ac:dyDescent="0.3">
      <c r="A15" t="s">
        <v>88</v>
      </c>
      <c r="B15" t="s">
        <v>99</v>
      </c>
      <c r="C15">
        <v>1081</v>
      </c>
    </row>
    <row r="16" spans="1:3" x14ac:dyDescent="0.3">
      <c r="A16" t="s">
        <v>88</v>
      </c>
      <c r="B16" t="s">
        <v>100</v>
      </c>
      <c r="C16">
        <v>1369</v>
      </c>
    </row>
    <row r="17" spans="1:3" x14ac:dyDescent="0.3">
      <c r="A17" t="s">
        <v>88</v>
      </c>
      <c r="B17" t="s">
        <v>101</v>
      </c>
      <c r="C17">
        <v>1148</v>
      </c>
    </row>
    <row r="18" spans="1:3" x14ac:dyDescent="0.3">
      <c r="A18" t="s">
        <v>89</v>
      </c>
      <c r="B18" t="s">
        <v>98</v>
      </c>
      <c r="C18">
        <v>810</v>
      </c>
    </row>
    <row r="19" spans="1:3" x14ac:dyDescent="0.3">
      <c r="A19" t="s">
        <v>89</v>
      </c>
      <c r="B19" t="s">
        <v>99</v>
      </c>
      <c r="C19">
        <v>866</v>
      </c>
    </row>
    <row r="20" spans="1:3" x14ac:dyDescent="0.3">
      <c r="A20" t="s">
        <v>89</v>
      </c>
      <c r="B20" t="s">
        <v>100</v>
      </c>
      <c r="C20">
        <v>1017</v>
      </c>
    </row>
    <row r="21" spans="1:3" x14ac:dyDescent="0.3">
      <c r="A21" t="s">
        <v>89</v>
      </c>
      <c r="B21" t="s">
        <v>101</v>
      </c>
      <c r="C21">
        <v>2119</v>
      </c>
    </row>
    <row r="22" spans="1:3" x14ac:dyDescent="0.3">
      <c r="A22" t="s">
        <v>90</v>
      </c>
      <c r="B22" t="s">
        <v>98</v>
      </c>
      <c r="C22">
        <v>786</v>
      </c>
    </row>
    <row r="23" spans="1:3" x14ac:dyDescent="0.3">
      <c r="A23" t="s">
        <v>90</v>
      </c>
      <c r="B23" t="s">
        <v>99</v>
      </c>
      <c r="C23">
        <v>664</v>
      </c>
    </row>
    <row r="24" spans="1:3" x14ac:dyDescent="0.3">
      <c r="A24" t="s">
        <v>90</v>
      </c>
      <c r="B24" t="s">
        <v>100</v>
      </c>
      <c r="C24">
        <v>2168</v>
      </c>
    </row>
    <row r="25" spans="1:3" x14ac:dyDescent="0.3">
      <c r="A25" t="s">
        <v>90</v>
      </c>
      <c r="B25" t="s">
        <v>101</v>
      </c>
      <c r="C25">
        <v>1194</v>
      </c>
    </row>
    <row r="26" spans="1:3" x14ac:dyDescent="0.3">
      <c r="A26" t="s">
        <v>91</v>
      </c>
      <c r="B26" t="s">
        <v>98</v>
      </c>
      <c r="C26">
        <v>1088</v>
      </c>
    </row>
    <row r="27" spans="1:3" x14ac:dyDescent="0.3">
      <c r="A27" t="s">
        <v>91</v>
      </c>
      <c r="B27" t="s">
        <v>99</v>
      </c>
      <c r="C27">
        <v>904</v>
      </c>
    </row>
    <row r="28" spans="1:3" x14ac:dyDescent="0.3">
      <c r="A28" t="s">
        <v>91</v>
      </c>
      <c r="B28" t="s">
        <v>100</v>
      </c>
      <c r="C28">
        <v>1266</v>
      </c>
    </row>
    <row r="29" spans="1:3" x14ac:dyDescent="0.3">
      <c r="A29" t="s">
        <v>91</v>
      </c>
      <c r="B29" t="s">
        <v>101</v>
      </c>
      <c r="C29">
        <v>1554</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92F07-FFFA-46A0-A665-231566DEF2BF}">
  <dimension ref="A1:D8"/>
  <sheetViews>
    <sheetView workbookViewId="0">
      <selection activeCell="D8" sqref="D1:D8"/>
    </sheetView>
  </sheetViews>
  <sheetFormatPr defaultRowHeight="14.4" x14ac:dyDescent="0.3"/>
  <cols>
    <col min="1" max="1" width="26.5546875" bestFit="1" customWidth="1"/>
    <col min="2" max="2" width="14.21875" bestFit="1" customWidth="1"/>
    <col min="3" max="3" width="16.88671875" bestFit="1" customWidth="1"/>
    <col min="4" max="4" width="13.21875" bestFit="1" customWidth="1"/>
  </cols>
  <sheetData>
    <row r="1" spans="1:4" x14ac:dyDescent="0.3">
      <c r="A1" t="s">
        <v>78</v>
      </c>
      <c r="B1" t="s">
        <v>102</v>
      </c>
      <c r="C1" t="s">
        <v>81</v>
      </c>
      <c r="D1" t="s">
        <v>82</v>
      </c>
    </row>
    <row r="2" spans="1:4" x14ac:dyDescent="0.3">
      <c r="A2" t="s">
        <v>85</v>
      </c>
      <c r="B2">
        <v>4812</v>
      </c>
      <c r="C2">
        <v>1202</v>
      </c>
      <c r="D2">
        <v>24.98</v>
      </c>
    </row>
    <row r="3" spans="1:4" x14ac:dyDescent="0.3">
      <c r="A3" t="s">
        <v>86</v>
      </c>
      <c r="B3">
        <v>4812</v>
      </c>
      <c r="C3">
        <v>2033</v>
      </c>
      <c r="D3">
        <v>42.25</v>
      </c>
    </row>
    <row r="4" spans="1:4" x14ac:dyDescent="0.3">
      <c r="A4" t="s">
        <v>87</v>
      </c>
      <c r="B4">
        <v>4812</v>
      </c>
      <c r="C4">
        <v>1352</v>
      </c>
      <c r="D4">
        <v>28.1</v>
      </c>
    </row>
    <row r="5" spans="1:4" x14ac:dyDescent="0.3">
      <c r="A5" t="s">
        <v>88</v>
      </c>
      <c r="B5">
        <v>4812</v>
      </c>
      <c r="C5">
        <v>1369</v>
      </c>
      <c r="D5">
        <v>28.45</v>
      </c>
    </row>
    <row r="6" spans="1:4" x14ac:dyDescent="0.3">
      <c r="A6" t="s">
        <v>89</v>
      </c>
      <c r="B6">
        <v>4812</v>
      </c>
      <c r="C6">
        <v>1017</v>
      </c>
      <c r="D6">
        <v>21.13</v>
      </c>
    </row>
    <row r="7" spans="1:4" x14ac:dyDescent="0.3">
      <c r="A7" t="s">
        <v>90</v>
      </c>
      <c r="B7">
        <v>4812</v>
      </c>
      <c r="C7">
        <v>2168</v>
      </c>
      <c r="D7">
        <v>45.05</v>
      </c>
    </row>
    <row r="8" spans="1:4" x14ac:dyDescent="0.3">
      <c r="A8" t="s">
        <v>91</v>
      </c>
      <c r="B8">
        <v>4812</v>
      </c>
      <c r="C8">
        <v>1266</v>
      </c>
      <c r="D8">
        <v>26.31</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B087D-632D-44F5-9138-B77DAF60FC8A}">
  <dimension ref="A1:D8"/>
  <sheetViews>
    <sheetView workbookViewId="0">
      <selection activeCell="D1" sqref="D1:D6"/>
    </sheetView>
  </sheetViews>
  <sheetFormatPr defaultRowHeight="14.4" x14ac:dyDescent="0.3"/>
  <cols>
    <col min="1" max="1" width="26.5546875" bestFit="1" customWidth="1"/>
    <col min="2" max="2" width="23.88671875" bestFit="1" customWidth="1"/>
    <col min="3" max="3" width="22.77734375" bestFit="1" customWidth="1"/>
    <col min="4" max="4" width="19.109375" bestFit="1" customWidth="1"/>
  </cols>
  <sheetData>
    <row r="1" spans="1:4" x14ac:dyDescent="0.3">
      <c r="A1" t="s">
        <v>78</v>
      </c>
      <c r="B1" t="s">
        <v>103</v>
      </c>
      <c r="C1" t="s">
        <v>83</v>
      </c>
      <c r="D1" t="s">
        <v>84</v>
      </c>
    </row>
    <row r="2" spans="1:4" x14ac:dyDescent="0.3">
      <c r="A2" t="s">
        <v>85</v>
      </c>
      <c r="B2">
        <v>3610</v>
      </c>
      <c r="C2">
        <v>242</v>
      </c>
      <c r="D2">
        <v>6.7</v>
      </c>
    </row>
    <row r="3" spans="1:4" x14ac:dyDescent="0.3">
      <c r="A3" t="s">
        <v>86</v>
      </c>
      <c r="B3">
        <v>2779</v>
      </c>
      <c r="C3">
        <v>370</v>
      </c>
      <c r="D3">
        <v>13.31</v>
      </c>
    </row>
    <row r="4" spans="1:4" x14ac:dyDescent="0.3">
      <c r="A4" t="s">
        <v>87</v>
      </c>
      <c r="B4">
        <v>3460</v>
      </c>
      <c r="C4">
        <v>341</v>
      </c>
      <c r="D4">
        <v>9.86</v>
      </c>
    </row>
    <row r="5" spans="1:4" x14ac:dyDescent="0.3">
      <c r="A5" t="s">
        <v>88</v>
      </c>
      <c r="B5">
        <v>3443</v>
      </c>
      <c r="C5">
        <v>1081</v>
      </c>
      <c r="D5">
        <v>31.4</v>
      </c>
    </row>
    <row r="6" spans="1:4" x14ac:dyDescent="0.3">
      <c r="A6" t="s">
        <v>89</v>
      </c>
      <c r="B6">
        <v>3795</v>
      </c>
      <c r="C6">
        <v>866</v>
      </c>
      <c r="D6">
        <v>22.82</v>
      </c>
    </row>
    <row r="7" spans="1:4" x14ac:dyDescent="0.3">
      <c r="A7" t="s">
        <v>90</v>
      </c>
      <c r="B7">
        <v>2644</v>
      </c>
      <c r="C7">
        <v>664</v>
      </c>
      <c r="D7">
        <v>25.11</v>
      </c>
    </row>
    <row r="8" spans="1:4" x14ac:dyDescent="0.3">
      <c r="A8" t="s">
        <v>91</v>
      </c>
      <c r="B8">
        <v>3546</v>
      </c>
      <c r="C8">
        <v>904</v>
      </c>
      <c r="D8">
        <v>25.49</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143B2-AB2F-4B80-AA2B-B714DC748727}">
  <dimension ref="A1:B115"/>
  <sheetViews>
    <sheetView topLeftCell="A94" workbookViewId="0">
      <selection activeCell="R113" sqref="R113"/>
    </sheetView>
  </sheetViews>
  <sheetFormatPr defaultRowHeight="14.4" x14ac:dyDescent="0.3"/>
  <cols>
    <col min="1" max="1" width="35.6640625" customWidth="1"/>
    <col min="2" max="2" width="21.109375" customWidth="1"/>
  </cols>
  <sheetData>
    <row r="1" spans="1:2" x14ac:dyDescent="0.3">
      <c r="A1" s="2" t="s">
        <v>92</v>
      </c>
      <c r="B1" s="3" t="s">
        <v>1</v>
      </c>
    </row>
    <row r="2" spans="1:2" x14ac:dyDescent="0.3">
      <c r="A2" s="4" t="s">
        <v>93</v>
      </c>
      <c r="B2" s="5">
        <v>3369</v>
      </c>
    </row>
    <row r="3" spans="1:2" x14ac:dyDescent="0.3">
      <c r="A3" s="6" t="s">
        <v>95</v>
      </c>
      <c r="B3" s="7">
        <v>1344</v>
      </c>
    </row>
    <row r="4" spans="1:2" x14ac:dyDescent="0.3">
      <c r="A4" s="4" t="s">
        <v>94</v>
      </c>
      <c r="B4" s="5">
        <v>99</v>
      </c>
    </row>
    <row r="8" spans="1:2" x14ac:dyDescent="0.3">
      <c r="A8" s="2" t="s">
        <v>64</v>
      </c>
      <c r="B8" s="3" t="s">
        <v>1</v>
      </c>
    </row>
    <row r="9" spans="1:2" x14ac:dyDescent="0.3">
      <c r="A9" s="4" t="s">
        <v>74</v>
      </c>
      <c r="B9" s="5">
        <v>2052</v>
      </c>
    </row>
    <row r="10" spans="1:2" x14ac:dyDescent="0.3">
      <c r="A10" s="6" t="s">
        <v>70</v>
      </c>
      <c r="B10" s="7">
        <v>800</v>
      </c>
    </row>
    <row r="11" spans="1:2" x14ac:dyDescent="0.3">
      <c r="A11" s="4" t="s">
        <v>66</v>
      </c>
      <c r="B11" s="5">
        <v>561</v>
      </c>
    </row>
    <row r="12" spans="1:2" x14ac:dyDescent="0.3">
      <c r="A12" s="6" t="s">
        <v>73</v>
      </c>
      <c r="B12" s="7">
        <v>462</v>
      </c>
    </row>
    <row r="13" spans="1:2" x14ac:dyDescent="0.3">
      <c r="A13" s="4" t="s">
        <v>67</v>
      </c>
      <c r="B13" s="5">
        <v>407</v>
      </c>
    </row>
    <row r="14" spans="1:2" x14ac:dyDescent="0.3">
      <c r="A14" s="6" t="s">
        <v>72</v>
      </c>
      <c r="B14" s="7">
        <v>343</v>
      </c>
    </row>
    <row r="15" spans="1:2" x14ac:dyDescent="0.3">
      <c r="A15" s="4" t="s">
        <v>69</v>
      </c>
      <c r="B15" s="5">
        <v>68</v>
      </c>
    </row>
    <row r="16" spans="1:2" x14ac:dyDescent="0.3">
      <c r="A16" s="6" t="s">
        <v>68</v>
      </c>
      <c r="B16" s="7">
        <v>65</v>
      </c>
    </row>
    <row r="17" spans="1:2" x14ac:dyDescent="0.3">
      <c r="A17" s="4" t="s">
        <v>65</v>
      </c>
      <c r="B17" s="5">
        <v>45</v>
      </c>
    </row>
    <row r="18" spans="1:2" x14ac:dyDescent="0.3">
      <c r="A18" s="6" t="s">
        <v>71</v>
      </c>
      <c r="B18" s="7">
        <v>9</v>
      </c>
    </row>
    <row r="20" spans="1:2" x14ac:dyDescent="0.3">
      <c r="A20" s="2" t="s">
        <v>0</v>
      </c>
      <c r="B20" s="3" t="s">
        <v>1</v>
      </c>
    </row>
    <row r="21" spans="1:2" x14ac:dyDescent="0.3">
      <c r="A21" s="4" t="s">
        <v>55</v>
      </c>
      <c r="B21" s="5">
        <v>411</v>
      </c>
    </row>
    <row r="22" spans="1:2" x14ac:dyDescent="0.3">
      <c r="A22" s="6" t="s">
        <v>13</v>
      </c>
      <c r="B22" s="7">
        <v>343</v>
      </c>
    </row>
    <row r="23" spans="1:2" x14ac:dyDescent="0.3">
      <c r="A23" s="4" t="s">
        <v>18</v>
      </c>
      <c r="B23" s="5">
        <v>187</v>
      </c>
    </row>
    <row r="24" spans="1:2" x14ac:dyDescent="0.3">
      <c r="A24" s="6" t="s">
        <v>24</v>
      </c>
      <c r="B24" s="7">
        <v>180</v>
      </c>
    </row>
    <row r="25" spans="1:2" x14ac:dyDescent="0.3">
      <c r="A25" s="4" t="s">
        <v>45</v>
      </c>
      <c r="B25" s="5">
        <v>171</v>
      </c>
    </row>
    <row r="26" spans="1:2" x14ac:dyDescent="0.3">
      <c r="A26" s="6" t="s">
        <v>49</v>
      </c>
      <c r="B26" s="7">
        <v>171</v>
      </c>
    </row>
    <row r="27" spans="1:2" x14ac:dyDescent="0.3">
      <c r="A27" s="4" t="s">
        <v>46</v>
      </c>
      <c r="B27" s="5">
        <v>168</v>
      </c>
    </row>
    <row r="28" spans="1:2" x14ac:dyDescent="0.3">
      <c r="A28" s="6" t="s">
        <v>26</v>
      </c>
      <c r="B28" s="7">
        <v>137</v>
      </c>
    </row>
    <row r="29" spans="1:2" x14ac:dyDescent="0.3">
      <c r="A29" s="4" t="s">
        <v>19</v>
      </c>
      <c r="B29" s="5">
        <v>133</v>
      </c>
    </row>
    <row r="30" spans="1:2" x14ac:dyDescent="0.3">
      <c r="A30" s="6" t="s">
        <v>32</v>
      </c>
      <c r="B30" s="7">
        <v>131</v>
      </c>
    </row>
    <row r="35" spans="1:2" x14ac:dyDescent="0.3">
      <c r="A35" s="2" t="s">
        <v>92</v>
      </c>
      <c r="B35" s="3" t="s">
        <v>6</v>
      </c>
    </row>
    <row r="36" spans="1:2" x14ac:dyDescent="0.3">
      <c r="A36" s="4" t="s">
        <v>94</v>
      </c>
      <c r="B36" s="5">
        <v>100</v>
      </c>
    </row>
    <row r="37" spans="1:2" x14ac:dyDescent="0.3">
      <c r="A37" s="6" t="s">
        <v>95</v>
      </c>
      <c r="B37" s="7">
        <v>55.65</v>
      </c>
    </row>
    <row r="38" spans="1:2" x14ac:dyDescent="0.3">
      <c r="A38" s="4" t="s">
        <v>93</v>
      </c>
      <c r="B38" s="5">
        <v>11.81</v>
      </c>
    </row>
    <row r="43" spans="1:2" x14ac:dyDescent="0.3">
      <c r="A43" s="2" t="s">
        <v>64</v>
      </c>
      <c r="B43" s="3" t="s">
        <v>6</v>
      </c>
    </row>
    <row r="44" spans="1:2" x14ac:dyDescent="0.3">
      <c r="A44" s="6" t="s">
        <v>71</v>
      </c>
      <c r="B44" s="7">
        <v>77.78</v>
      </c>
    </row>
    <row r="45" spans="1:2" x14ac:dyDescent="0.3">
      <c r="A45" s="4" t="s">
        <v>69</v>
      </c>
      <c r="B45" s="5">
        <v>70.59</v>
      </c>
    </row>
    <row r="46" spans="1:2" x14ac:dyDescent="0.3">
      <c r="A46" s="4" t="s">
        <v>65</v>
      </c>
      <c r="B46" s="5">
        <v>64.44</v>
      </c>
    </row>
    <row r="47" spans="1:2" x14ac:dyDescent="0.3">
      <c r="A47" s="4" t="s">
        <v>67</v>
      </c>
      <c r="B47" s="5">
        <v>40.29</v>
      </c>
    </row>
    <row r="48" spans="1:2" x14ac:dyDescent="0.3">
      <c r="A48" s="4" t="s">
        <v>66</v>
      </c>
      <c r="B48" s="5">
        <v>39.93</v>
      </c>
    </row>
    <row r="49" spans="1:2" x14ac:dyDescent="0.3">
      <c r="A49" s="6" t="s">
        <v>68</v>
      </c>
      <c r="B49" s="7">
        <v>30.77</v>
      </c>
    </row>
    <row r="50" spans="1:2" x14ac:dyDescent="0.3">
      <c r="A50" s="6" t="s">
        <v>70</v>
      </c>
      <c r="B50" s="7">
        <v>22.88</v>
      </c>
    </row>
    <row r="51" spans="1:2" x14ac:dyDescent="0.3">
      <c r="A51" s="4" t="s">
        <v>74</v>
      </c>
      <c r="B51" s="5">
        <v>21.78</v>
      </c>
    </row>
    <row r="52" spans="1:2" x14ac:dyDescent="0.3">
      <c r="A52" s="6" t="s">
        <v>73</v>
      </c>
      <c r="B52" s="7">
        <v>19.260000000000002</v>
      </c>
    </row>
    <row r="53" spans="1:2" x14ac:dyDescent="0.3">
      <c r="A53" s="6" t="s">
        <v>72</v>
      </c>
      <c r="B53" s="7">
        <v>9.91</v>
      </c>
    </row>
    <row r="55" spans="1:2" x14ac:dyDescent="0.3">
      <c r="A55" s="2" t="s">
        <v>0</v>
      </c>
      <c r="B55" s="3" t="s">
        <v>6</v>
      </c>
    </row>
    <row r="56" spans="1:2" x14ac:dyDescent="0.3">
      <c r="A56" s="6" t="s">
        <v>26</v>
      </c>
      <c r="B56" s="7">
        <v>57.66</v>
      </c>
    </row>
    <row r="57" spans="1:2" x14ac:dyDescent="0.3">
      <c r="A57" s="4" t="s">
        <v>55</v>
      </c>
      <c r="B57" s="5">
        <v>35.770000000000003</v>
      </c>
    </row>
    <row r="58" spans="1:2" x14ac:dyDescent="0.3">
      <c r="A58" s="4" t="s">
        <v>19</v>
      </c>
      <c r="B58" s="5">
        <v>18.8</v>
      </c>
    </row>
    <row r="59" spans="1:2" x14ac:dyDescent="0.3">
      <c r="A59" s="4" t="s">
        <v>46</v>
      </c>
      <c r="B59" s="5">
        <v>16.670000000000002</v>
      </c>
    </row>
    <row r="60" spans="1:2" x14ac:dyDescent="0.3">
      <c r="A60" s="6" t="s">
        <v>13</v>
      </c>
      <c r="B60" s="7">
        <v>15.45</v>
      </c>
    </row>
    <row r="61" spans="1:2" x14ac:dyDescent="0.3">
      <c r="A61" s="6" t="s">
        <v>49</v>
      </c>
      <c r="B61" s="7">
        <v>14.04</v>
      </c>
    </row>
    <row r="62" spans="1:2" x14ac:dyDescent="0.3">
      <c r="A62" s="6" t="s">
        <v>32</v>
      </c>
      <c r="B62" s="7">
        <v>12.21</v>
      </c>
    </row>
    <row r="63" spans="1:2" x14ac:dyDescent="0.3">
      <c r="A63" s="6" t="s">
        <v>24</v>
      </c>
      <c r="B63" s="7">
        <v>11.67</v>
      </c>
    </row>
    <row r="64" spans="1:2" x14ac:dyDescent="0.3">
      <c r="A64" s="4" t="s">
        <v>45</v>
      </c>
      <c r="B64" s="5">
        <v>10.53</v>
      </c>
    </row>
    <row r="65" spans="1:2" x14ac:dyDescent="0.3">
      <c r="A65" s="4" t="s">
        <v>18</v>
      </c>
      <c r="B65" s="5">
        <v>9.6300000000000008</v>
      </c>
    </row>
    <row r="68" spans="1:2" x14ac:dyDescent="0.3">
      <c r="A68" s="2" t="s">
        <v>92</v>
      </c>
      <c r="B68" s="9" t="s">
        <v>77</v>
      </c>
    </row>
    <row r="69" spans="1:2" x14ac:dyDescent="0.3">
      <c r="A69" s="4" t="s">
        <v>93</v>
      </c>
      <c r="B69" s="10">
        <v>2.99</v>
      </c>
    </row>
    <row r="70" spans="1:2" x14ac:dyDescent="0.3">
      <c r="A70" s="6" t="s">
        <v>95</v>
      </c>
      <c r="B70" s="11">
        <v>3.21</v>
      </c>
    </row>
    <row r="73" spans="1:2" x14ac:dyDescent="0.3">
      <c r="A73" s="2" t="s">
        <v>64</v>
      </c>
      <c r="B73" s="9" t="s">
        <v>77</v>
      </c>
    </row>
    <row r="74" spans="1:2" x14ac:dyDescent="0.3">
      <c r="A74" s="6" t="s">
        <v>74</v>
      </c>
      <c r="B74" s="11">
        <v>3.09</v>
      </c>
    </row>
    <row r="75" spans="1:2" x14ac:dyDescent="0.3">
      <c r="A75" s="6" t="s">
        <v>72</v>
      </c>
      <c r="B75" s="11">
        <v>2.99</v>
      </c>
    </row>
    <row r="76" spans="1:2" x14ac:dyDescent="0.3">
      <c r="A76" s="4" t="s">
        <v>73</v>
      </c>
      <c r="B76" s="10">
        <v>2.99</v>
      </c>
    </row>
    <row r="77" spans="1:2" x14ac:dyDescent="0.3">
      <c r="A77" s="6" t="s">
        <v>66</v>
      </c>
      <c r="B77" s="11">
        <v>2.85</v>
      </c>
    </row>
    <row r="78" spans="1:2" x14ac:dyDescent="0.3">
      <c r="A78" s="6" t="s">
        <v>70</v>
      </c>
      <c r="B78" s="11">
        <v>2.74</v>
      </c>
    </row>
    <row r="79" spans="1:2" x14ac:dyDescent="0.3">
      <c r="A79" s="4" t="s">
        <v>67</v>
      </c>
      <c r="B79" s="10">
        <v>2.73</v>
      </c>
    </row>
    <row r="80" spans="1:2" x14ac:dyDescent="0.3">
      <c r="A80" s="4" t="s">
        <v>69</v>
      </c>
      <c r="B80" s="10">
        <v>1.88</v>
      </c>
    </row>
    <row r="81" spans="1:2" x14ac:dyDescent="0.3">
      <c r="A81" s="6" t="s">
        <v>68</v>
      </c>
      <c r="B81" s="11">
        <v>1.8</v>
      </c>
    </row>
    <row r="82" spans="1:2" x14ac:dyDescent="0.3">
      <c r="A82" s="4" t="s">
        <v>65</v>
      </c>
      <c r="B82" s="10">
        <v>1.31</v>
      </c>
    </row>
    <row r="83" spans="1:2" x14ac:dyDescent="0.3">
      <c r="A83" s="4" t="s">
        <v>71</v>
      </c>
      <c r="B83" s="10">
        <v>0.23</v>
      </c>
    </row>
    <row r="86" spans="1:2" x14ac:dyDescent="0.3">
      <c r="A86" s="2" t="s">
        <v>0</v>
      </c>
      <c r="B86" s="9" t="s">
        <v>77</v>
      </c>
    </row>
    <row r="87" spans="1:2" x14ac:dyDescent="0.3">
      <c r="A87" s="4" t="s">
        <v>55</v>
      </c>
      <c r="B87" s="10">
        <v>3</v>
      </c>
    </row>
    <row r="88" spans="1:2" x14ac:dyDescent="0.3">
      <c r="A88" s="4" t="s">
        <v>46</v>
      </c>
      <c r="B88" s="10">
        <v>2.96</v>
      </c>
    </row>
    <row r="89" spans="1:2" x14ac:dyDescent="0.3">
      <c r="A89" s="6" t="s">
        <v>24</v>
      </c>
      <c r="B89" s="11">
        <v>2.78</v>
      </c>
    </row>
    <row r="90" spans="1:2" x14ac:dyDescent="0.3">
      <c r="A90" s="6" t="s">
        <v>32</v>
      </c>
      <c r="B90" s="11">
        <v>2.72</v>
      </c>
    </row>
    <row r="91" spans="1:2" x14ac:dyDescent="0.3">
      <c r="A91" s="6" t="s">
        <v>13</v>
      </c>
      <c r="B91" s="11">
        <v>2.66</v>
      </c>
    </row>
    <row r="92" spans="1:2" x14ac:dyDescent="0.3">
      <c r="A92" s="6" t="s">
        <v>49</v>
      </c>
      <c r="B92" s="11">
        <v>2.65</v>
      </c>
    </row>
    <row r="93" spans="1:2" x14ac:dyDescent="0.3">
      <c r="A93" s="6" t="s">
        <v>26</v>
      </c>
      <c r="B93" s="11">
        <v>2.48</v>
      </c>
    </row>
    <row r="94" spans="1:2" x14ac:dyDescent="0.3">
      <c r="A94" s="4" t="s">
        <v>19</v>
      </c>
      <c r="B94" s="10">
        <v>2.48</v>
      </c>
    </row>
    <row r="95" spans="1:2" x14ac:dyDescent="0.3">
      <c r="A95" s="4" t="s">
        <v>18</v>
      </c>
      <c r="B95" s="10">
        <v>2.38</v>
      </c>
    </row>
    <row r="96" spans="1:2" x14ac:dyDescent="0.3">
      <c r="A96" s="4" t="s">
        <v>45</v>
      </c>
      <c r="B96" s="10">
        <v>2.0499999999999998</v>
      </c>
    </row>
    <row r="99" spans="1:2" x14ac:dyDescent="0.3">
      <c r="A99" s="2" t="s">
        <v>78</v>
      </c>
      <c r="B99" s="9" t="s">
        <v>84</v>
      </c>
    </row>
    <row r="100" spans="1:2" x14ac:dyDescent="0.3">
      <c r="A100" s="6" t="s">
        <v>88</v>
      </c>
      <c r="B100" s="11">
        <v>31.4</v>
      </c>
    </row>
    <row r="101" spans="1:2" x14ac:dyDescent="0.3">
      <c r="A101" s="4" t="s">
        <v>91</v>
      </c>
      <c r="B101" s="10">
        <v>25.49</v>
      </c>
    </row>
    <row r="102" spans="1:2" x14ac:dyDescent="0.3">
      <c r="A102" s="6" t="s">
        <v>90</v>
      </c>
      <c r="B102" s="11">
        <v>25.11</v>
      </c>
    </row>
    <row r="103" spans="1:2" x14ac:dyDescent="0.3">
      <c r="A103" s="4" t="s">
        <v>89</v>
      </c>
      <c r="B103" s="10">
        <v>22.82</v>
      </c>
    </row>
    <row r="104" spans="1:2" x14ac:dyDescent="0.3">
      <c r="A104" s="6" t="s">
        <v>86</v>
      </c>
      <c r="B104" s="11">
        <v>13.31</v>
      </c>
    </row>
    <row r="105" spans="1:2" x14ac:dyDescent="0.3">
      <c r="A105" s="4" t="s">
        <v>87</v>
      </c>
      <c r="B105" s="10">
        <v>9.86</v>
      </c>
    </row>
    <row r="106" spans="1:2" x14ac:dyDescent="0.3">
      <c r="A106" s="4" t="s">
        <v>85</v>
      </c>
      <c r="B106" s="10">
        <v>6.7</v>
      </c>
    </row>
    <row r="108" spans="1:2" x14ac:dyDescent="0.3">
      <c r="A108" s="2" t="s">
        <v>78</v>
      </c>
      <c r="B108" s="9" t="s">
        <v>82</v>
      </c>
    </row>
    <row r="109" spans="1:2" x14ac:dyDescent="0.3">
      <c r="A109" s="6" t="s">
        <v>90</v>
      </c>
      <c r="B109" s="11">
        <v>45.05</v>
      </c>
    </row>
    <row r="110" spans="1:2" x14ac:dyDescent="0.3">
      <c r="A110" s="6" t="s">
        <v>86</v>
      </c>
      <c r="B110" s="11">
        <v>42.25</v>
      </c>
    </row>
    <row r="111" spans="1:2" x14ac:dyDescent="0.3">
      <c r="A111" s="6" t="s">
        <v>88</v>
      </c>
      <c r="B111" s="11">
        <v>28.45</v>
      </c>
    </row>
    <row r="112" spans="1:2" x14ac:dyDescent="0.3">
      <c r="A112" s="4" t="s">
        <v>87</v>
      </c>
      <c r="B112" s="10">
        <v>28.1</v>
      </c>
    </row>
    <row r="113" spans="1:2" x14ac:dyDescent="0.3">
      <c r="A113" s="4" t="s">
        <v>91</v>
      </c>
      <c r="B113" s="10">
        <v>26.31</v>
      </c>
    </row>
    <row r="114" spans="1:2" x14ac:dyDescent="0.3">
      <c r="A114" s="4" t="s">
        <v>85</v>
      </c>
      <c r="B114" s="10">
        <v>24.98</v>
      </c>
    </row>
    <row r="115" spans="1:2" x14ac:dyDescent="0.3">
      <c r="A115" s="4" t="s">
        <v>89</v>
      </c>
      <c r="B115" s="10">
        <v>21.13</v>
      </c>
    </row>
  </sheetData>
  <sortState xmlns:xlrd2="http://schemas.microsoft.com/office/spreadsheetml/2017/richdata2" ref="A109:B115">
    <sortCondition descending="1" ref="B109:B115"/>
  </sortState>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CCD0D85225289E40ACF27106B5D69835" ma:contentTypeVersion="4" ma:contentTypeDescription="Create a new document." ma:contentTypeScope="" ma:versionID="18e30f1f5906576a878e33e338f8295b">
  <xsd:schema xmlns:xsd="http://www.w3.org/2001/XMLSchema" xmlns:xs="http://www.w3.org/2001/XMLSchema" xmlns:p="http://schemas.microsoft.com/office/2006/metadata/properties" xmlns:ns3="355d8a71-bfbb-491e-b309-1b6e65dd2929" targetNamespace="http://schemas.microsoft.com/office/2006/metadata/properties" ma:root="true" ma:fieldsID="8a475f1bc10c8aef3bb464e2aa6a921f" ns3:_="">
    <xsd:import namespace="355d8a71-bfbb-491e-b309-1b6e65dd2929"/>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55d8a71-bfbb-491e-b309-1b6e65dd2929"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59F0ADF-3B47-4829-AED7-5CF3FDCD549A}">
  <ds:schemaRefs>
    <ds:schemaRef ds:uri="http://schemas.microsoft.com/DataMashup"/>
  </ds:schemaRefs>
</ds:datastoreItem>
</file>

<file path=customXml/itemProps2.xml><?xml version="1.0" encoding="utf-8"?>
<ds:datastoreItem xmlns:ds="http://schemas.openxmlformats.org/officeDocument/2006/customXml" ds:itemID="{333AF9E0-E490-49B6-B362-FC4EFA60330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55d8a71-bfbb-491e-b309-1b6e65dd292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86AB80D-8736-4123-A2BE-61811D16F02E}">
  <ds:schemaRefs>
    <ds:schemaRef ds:uri="http://schemas.microsoft.com/sharepoint/v3/contenttype/forms"/>
  </ds:schemaRefs>
</ds:datastoreItem>
</file>

<file path=customXml/itemProps4.xml><?xml version="1.0" encoding="utf-8"?>
<ds:datastoreItem xmlns:ds="http://schemas.openxmlformats.org/officeDocument/2006/customXml" ds:itemID="{BF973C7E-35D0-4375-82F1-DBF861178D0B}">
  <ds:schemaRefs>
    <ds:schemaRef ds:uri="355d8a71-bfbb-491e-b309-1b6e65dd2929"/>
    <ds:schemaRef ds:uri="http://purl.org/dc/dcmitype/"/>
    <ds:schemaRef ds:uri="http://schemas.microsoft.com/office/2006/documentManagement/types"/>
    <ds:schemaRef ds:uri="http://schemas.microsoft.com/office/infopath/2007/PartnerControls"/>
    <ds:schemaRef ds:uri="http://schemas.openxmlformats.org/package/2006/metadata/core-properties"/>
    <ds:schemaRef ds:uri="http://www.w3.org/XML/1998/namespace"/>
    <ds:schemaRef ds:uri="http://schemas.microsoft.com/office/2006/metadata/properties"/>
    <ds:schemaRef ds:uri="http://purl.org/dc/term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Excel Report</vt:lpstr>
      <vt:lpstr>Pivot Analysis</vt:lpstr>
      <vt:lpstr>State Summary</vt:lpstr>
      <vt:lpstr>State Rating Rankings</vt:lpstr>
      <vt:lpstr>State Quality Domains</vt:lpstr>
      <vt:lpstr>Ownership Summary</vt:lpstr>
      <vt:lpstr>Ownership Rating Rankings</vt:lpstr>
      <vt:lpstr>Ownership Quality Domains</vt:lpstr>
      <vt:lpstr>Hospital Type Summary</vt:lpstr>
      <vt:lpstr>Hospital Type Rating Rankings</vt:lpstr>
      <vt:lpstr>Hospital Type Quality Domains</vt:lpstr>
      <vt:lpstr>Quality Domain Summary</vt:lpstr>
      <vt:lpstr>Quality Domain Missingness</vt:lpstr>
      <vt:lpstr>Quality Domain Below Average</vt:lpstr>
      <vt:lpstr>Chart Sources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Abel Negash</dc:creator>
  <cp:lastModifiedBy>Abel Negash</cp:lastModifiedBy>
  <dcterms:created xsi:type="dcterms:W3CDTF">2026-05-31T03:54:55Z</dcterms:created>
  <dcterms:modified xsi:type="dcterms:W3CDTF">2026-06-05T20:33:49Z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0x010100CCD0D85225289E40ACF27106B5D69835</vt:lpwstr>
  </property>
</Properties>
</file>